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4E42BEBC-8C6B-4279-AF3C-563D80C19BF7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DCF" sheetId="10" r:id="rId1"/>
    <sheet name="Income - As Reported" sheetId="1" r:id="rId2"/>
    <sheet name="Cash Flow - As Reported" sheetId="4" r:id="rId3"/>
    <sheet name="Bal Sheet - As Reported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0" l="1" a="1"/>
  <c r="L4" i="10" s="1"/>
  <c r="E18" i="10" s="1"/>
  <c r="N118" i="10"/>
  <c r="N115" i="10"/>
  <c r="K49" i="3"/>
  <c r="N110" i="10"/>
  <c r="M110" i="10"/>
  <c r="L110" i="10"/>
  <c r="K110" i="10"/>
  <c r="J110" i="10"/>
  <c r="L109" i="10"/>
  <c r="M109" i="10" s="1"/>
  <c r="N109" i="10" s="1"/>
  <c r="K109" i="10"/>
  <c r="N98" i="10"/>
  <c r="M98" i="10"/>
  <c r="L98" i="10"/>
  <c r="K98" i="10"/>
  <c r="J98" i="10"/>
  <c r="N101" i="10"/>
  <c r="M101" i="10"/>
  <c r="L101" i="10"/>
  <c r="K101" i="10"/>
  <c r="J101" i="10"/>
  <c r="N104" i="10"/>
  <c r="M104" i="10"/>
  <c r="L104" i="10"/>
  <c r="K104" i="10"/>
  <c r="J104" i="10"/>
  <c r="I104" i="10"/>
  <c r="G104" i="10"/>
  <c r="F104" i="10"/>
  <c r="I103" i="10"/>
  <c r="H103" i="10"/>
  <c r="H104" i="10" s="1"/>
  <c r="G103" i="10"/>
  <c r="F103" i="10"/>
  <c r="E103" i="10"/>
  <c r="E104" i="10" s="1"/>
  <c r="I101" i="10"/>
  <c r="H101" i="10"/>
  <c r="G101" i="10"/>
  <c r="F101" i="10"/>
  <c r="I100" i="10"/>
  <c r="H100" i="10"/>
  <c r="G100" i="10"/>
  <c r="F100" i="10"/>
  <c r="E100" i="10"/>
  <c r="E101" i="10" s="1"/>
  <c r="I98" i="10"/>
  <c r="H98" i="10"/>
  <c r="G98" i="10"/>
  <c r="F98" i="10"/>
  <c r="E98" i="10"/>
  <c r="I97" i="10"/>
  <c r="H97" i="10"/>
  <c r="G97" i="10"/>
  <c r="F97" i="10"/>
  <c r="E97" i="10"/>
  <c r="N93" i="10"/>
  <c r="M93" i="10"/>
  <c r="L93" i="10"/>
  <c r="K93" i="10"/>
  <c r="J93" i="10"/>
  <c r="E31" i="10"/>
  <c r="E30" i="10"/>
  <c r="E29" i="10"/>
  <c r="I93" i="10"/>
  <c r="H93" i="10"/>
  <c r="G93" i="10"/>
  <c r="F93" i="10"/>
  <c r="E93" i="10"/>
  <c r="I90" i="10"/>
  <c r="H90" i="10"/>
  <c r="G90" i="10"/>
  <c r="F90" i="10"/>
  <c r="E90" i="10"/>
  <c r="I87" i="10"/>
  <c r="H87" i="10"/>
  <c r="G87" i="10"/>
  <c r="F87" i="10"/>
  <c r="E87" i="10"/>
  <c r="I95" i="10"/>
  <c r="H95" i="10"/>
  <c r="G95" i="10"/>
  <c r="F95" i="10"/>
  <c r="I92" i="10"/>
  <c r="H92" i="10"/>
  <c r="G92" i="10"/>
  <c r="F92" i="10"/>
  <c r="I89" i="10"/>
  <c r="H89" i="10"/>
  <c r="G89" i="10"/>
  <c r="F89" i="10"/>
  <c r="I86" i="10"/>
  <c r="H86" i="10"/>
  <c r="G86" i="10"/>
  <c r="F86" i="10"/>
  <c r="E95" i="10"/>
  <c r="E92" i="10"/>
  <c r="E89" i="10"/>
  <c r="E86" i="10"/>
  <c r="I83" i="10"/>
  <c r="H83" i="10"/>
  <c r="G83" i="10"/>
  <c r="F83" i="10"/>
  <c r="I82" i="10"/>
  <c r="H82" i="10"/>
  <c r="G82" i="10"/>
  <c r="F82" i="10"/>
  <c r="E82" i="10"/>
  <c r="I79" i="10"/>
  <c r="H79" i="10"/>
  <c r="G79" i="10"/>
  <c r="F79" i="10"/>
  <c r="E79" i="10"/>
  <c r="I76" i="10"/>
  <c r="H76" i="10"/>
  <c r="G76" i="10"/>
  <c r="F76" i="10"/>
  <c r="E76" i="10"/>
  <c r="I81" i="10"/>
  <c r="H81" i="10"/>
  <c r="G81" i="10"/>
  <c r="F81" i="10"/>
  <c r="E81" i="10"/>
  <c r="I78" i="10"/>
  <c r="H78" i="10"/>
  <c r="G78" i="10"/>
  <c r="F78" i="10"/>
  <c r="E78" i="10"/>
  <c r="I75" i="10"/>
  <c r="H75" i="10"/>
  <c r="G75" i="10"/>
  <c r="F75" i="10"/>
  <c r="E75" i="10"/>
  <c r="I72" i="10"/>
  <c r="H72" i="10"/>
  <c r="G72" i="10"/>
  <c r="F72" i="10"/>
  <c r="E72" i="10"/>
  <c r="I71" i="10"/>
  <c r="H71" i="10"/>
  <c r="G71" i="10"/>
  <c r="F71" i="10"/>
  <c r="F70" i="10"/>
  <c r="G70" i="10"/>
  <c r="H70" i="10"/>
  <c r="I70" i="10"/>
  <c r="E71" i="10"/>
  <c r="E70" i="10"/>
  <c r="I67" i="10"/>
  <c r="H67" i="10"/>
  <c r="G67" i="10"/>
  <c r="F67" i="10"/>
  <c r="E67" i="10"/>
  <c r="I66" i="10"/>
  <c r="H66" i="10"/>
  <c r="G66" i="10"/>
  <c r="F66" i="10"/>
  <c r="E66" i="10"/>
  <c r="I64" i="10"/>
  <c r="H64" i="10"/>
  <c r="G64" i="10"/>
  <c r="F64" i="10"/>
  <c r="E64" i="10"/>
  <c r="I63" i="10"/>
  <c r="H63" i="10"/>
  <c r="G63" i="10"/>
  <c r="F63" i="10"/>
  <c r="E63" i="10"/>
  <c r="K47" i="10"/>
  <c r="J60" i="10"/>
  <c r="J58" i="10"/>
  <c r="K58" i="10" s="1"/>
  <c r="L58" i="10" s="1"/>
  <c r="M58" i="10" s="1"/>
  <c r="J46" i="10"/>
  <c r="K46" i="10" s="1"/>
  <c r="L46" i="10" s="1"/>
  <c r="M46" i="10" s="1"/>
  <c r="J48" i="10"/>
  <c r="K48" i="10" s="1"/>
  <c r="L48" i="10" s="1"/>
  <c r="M48" i="10" s="1"/>
  <c r="J53" i="10"/>
  <c r="K53" i="10" s="1"/>
  <c r="N60" i="10"/>
  <c r="N59" i="10"/>
  <c r="N58" i="10"/>
  <c r="N54" i="10"/>
  <c r="N53" i="10"/>
  <c r="N52" i="10"/>
  <c r="N48" i="10"/>
  <c r="N47" i="10"/>
  <c r="N46" i="10"/>
  <c r="J59" i="10"/>
  <c r="J47" i="10"/>
  <c r="I56" i="10"/>
  <c r="H56" i="10"/>
  <c r="G56" i="10"/>
  <c r="F56" i="10"/>
  <c r="E56" i="10"/>
  <c r="I50" i="10"/>
  <c r="H50" i="10"/>
  <c r="G50" i="10"/>
  <c r="F50" i="10"/>
  <c r="E50" i="10"/>
  <c r="I44" i="10"/>
  <c r="H44" i="10"/>
  <c r="G44" i="10"/>
  <c r="F44" i="10"/>
  <c r="E44" i="10"/>
  <c r="J39" i="10"/>
  <c r="J40" i="10" s="1"/>
  <c r="N40" i="10"/>
  <c r="N38" i="10"/>
  <c r="N39" i="10"/>
  <c r="I36" i="10"/>
  <c r="H36" i="10"/>
  <c r="G36" i="10"/>
  <c r="F36" i="10"/>
  <c r="E36" i="10"/>
  <c r="F35" i="10"/>
  <c r="G35" i="10" s="1"/>
  <c r="H35" i="10" s="1"/>
  <c r="I35" i="10" s="1"/>
  <c r="J35" i="10" s="1"/>
  <c r="K35" i="10" s="1"/>
  <c r="L35" i="10" s="1"/>
  <c r="M35" i="10" s="1"/>
  <c r="N35" i="10" s="1"/>
  <c r="F85" i="10"/>
  <c r="G85" i="10" s="1"/>
  <c r="H85" i="10" s="1"/>
  <c r="I85" i="10" s="1"/>
  <c r="J85" i="10" s="1"/>
  <c r="F74" i="10"/>
  <c r="G74" i="10" s="1"/>
  <c r="H74" i="10" s="1"/>
  <c r="I74" i="10" s="1"/>
  <c r="F69" i="10"/>
  <c r="G69" i="10" s="1"/>
  <c r="H69" i="10" s="1"/>
  <c r="I69" i="10" s="1"/>
  <c r="F43" i="10"/>
  <c r="G43" i="10" s="1"/>
  <c r="H43" i="10" s="1"/>
  <c r="I43" i="10" s="1"/>
  <c r="J43" i="10" s="1"/>
  <c r="E24" i="10" l="1"/>
  <c r="E32" i="10" s="1"/>
  <c r="E25" i="10"/>
  <c r="E33" i="10" s="1"/>
  <c r="E12" i="10"/>
  <c r="N37" i="10" s="1"/>
  <c r="N87" i="10" s="1"/>
  <c r="N57" i="10"/>
  <c r="E17" i="10"/>
  <c r="J51" i="10" s="1"/>
  <c r="E16" i="10"/>
  <c r="J45" i="10" s="1"/>
  <c r="J57" i="10"/>
  <c r="K60" i="10"/>
  <c r="L60" i="10" s="1"/>
  <c r="M60" i="10" s="1"/>
  <c r="L47" i="10"/>
  <c r="K59" i="10"/>
  <c r="L53" i="10"/>
  <c r="J54" i="10"/>
  <c r="K54" i="10" s="1"/>
  <c r="L54" i="10" s="1"/>
  <c r="M54" i="10" s="1"/>
  <c r="J52" i="10"/>
  <c r="K52" i="10" s="1"/>
  <c r="L52" i="10" s="1"/>
  <c r="M52" i="10" s="1"/>
  <c r="I45" i="10"/>
  <c r="F45" i="10"/>
  <c r="F51" i="10"/>
  <c r="H45" i="10"/>
  <c r="G45" i="10"/>
  <c r="E51" i="10"/>
  <c r="I51" i="10"/>
  <c r="H57" i="10"/>
  <c r="G51" i="10"/>
  <c r="H51" i="10"/>
  <c r="E57" i="10"/>
  <c r="F57" i="10"/>
  <c r="G57" i="10"/>
  <c r="I57" i="10"/>
  <c r="E45" i="10"/>
  <c r="K40" i="10"/>
  <c r="L40" i="10" s="1"/>
  <c r="M40" i="10" s="1"/>
  <c r="J38" i="10"/>
  <c r="K38" i="10" s="1"/>
  <c r="L38" i="10" s="1"/>
  <c r="K39" i="10"/>
  <c r="L39" i="10" s="1"/>
  <c r="M39" i="10" s="1"/>
  <c r="I37" i="10"/>
  <c r="G37" i="10"/>
  <c r="F37" i="10"/>
  <c r="H37" i="10"/>
  <c r="K43" i="10"/>
  <c r="L43" i="10" s="1"/>
  <c r="M43" i="10" s="1"/>
  <c r="N43" i="10" s="1"/>
  <c r="J69" i="10"/>
  <c r="K69" i="10" s="1"/>
  <c r="L69" i="10" s="1"/>
  <c r="M69" i="10" s="1"/>
  <c r="N69" i="10" s="1"/>
  <c r="J74" i="10"/>
  <c r="K74" i="10" s="1"/>
  <c r="L74" i="10" s="1"/>
  <c r="M74" i="10" s="1"/>
  <c r="N74" i="10" s="1"/>
  <c r="K85" i="10"/>
  <c r="L85" i="10" s="1"/>
  <c r="M85" i="10" s="1"/>
  <c r="N85" i="10" s="1"/>
  <c r="K51" i="10" l="1"/>
  <c r="N45" i="10"/>
  <c r="N51" i="10"/>
  <c r="K45" i="10"/>
  <c r="M47" i="10"/>
  <c r="M45" i="10" s="1"/>
  <c r="L45" i="10"/>
  <c r="L59" i="10"/>
  <c r="K57" i="10"/>
  <c r="M53" i="10"/>
  <c r="M51" i="10" s="1"/>
  <c r="L51" i="10"/>
  <c r="L37" i="10"/>
  <c r="L87" i="10" s="1"/>
  <c r="M38" i="10"/>
  <c r="M37" i="10" s="1"/>
  <c r="M87" i="10" s="1"/>
  <c r="J37" i="10"/>
  <c r="K37" i="10"/>
  <c r="K87" i="10" s="1"/>
  <c r="M59" i="10" l="1"/>
  <c r="M57" i="10" s="1"/>
  <c r="L57" i="10"/>
  <c r="J36" i="10"/>
  <c r="J86" i="10" s="1"/>
  <c r="J103" i="10" s="1"/>
  <c r="J87" i="10"/>
  <c r="J97" i="10" l="1"/>
  <c r="J100" i="10"/>
  <c r="K36" i="10"/>
  <c r="K86" i="10" s="1"/>
  <c r="K103" i="10" s="1"/>
  <c r="J50" i="10"/>
  <c r="J44" i="10"/>
  <c r="J56" i="10"/>
  <c r="K97" i="10" l="1"/>
  <c r="K100" i="10"/>
  <c r="J63" i="10"/>
  <c r="J64" i="10" s="1"/>
  <c r="L36" i="10"/>
  <c r="L86" i="10" s="1"/>
  <c r="L103" i="10" s="1"/>
  <c r="K56" i="10"/>
  <c r="K44" i="10"/>
  <c r="K50" i="10"/>
  <c r="L97" i="10" l="1"/>
  <c r="L100" i="10"/>
  <c r="J66" i="10"/>
  <c r="J67" i="10" s="1"/>
  <c r="J90" i="10" s="1"/>
  <c r="L50" i="10"/>
  <c r="M36" i="10"/>
  <c r="M86" i="10" s="1"/>
  <c r="M103" i="10" s="1"/>
  <c r="L56" i="10"/>
  <c r="L44" i="10"/>
  <c r="K63" i="10"/>
  <c r="K64" i="10" s="1"/>
  <c r="M44" i="10" l="1"/>
  <c r="M50" i="10"/>
  <c r="N36" i="10"/>
  <c r="N86" i="10" s="1"/>
  <c r="N103" i="10" s="1"/>
  <c r="M56" i="10"/>
  <c r="L63" i="10"/>
  <c r="L64" i="10" s="1"/>
  <c r="M97" i="10"/>
  <c r="M100" i="10"/>
  <c r="J89" i="10"/>
  <c r="J92" i="10" s="1"/>
  <c r="J95" i="10" s="1"/>
  <c r="J106" i="10" s="1"/>
  <c r="J107" i="10" s="1"/>
  <c r="K66" i="10"/>
  <c r="K89" i="10" s="1"/>
  <c r="N44" i="10" l="1"/>
  <c r="N50" i="10"/>
  <c r="N100" i="10"/>
  <c r="L66" i="10"/>
  <c r="L67" i="10" s="1"/>
  <c r="L90" i="10" s="1"/>
  <c r="N97" i="10"/>
  <c r="M63" i="10"/>
  <c r="M64" i="10" s="1"/>
  <c r="N56" i="10"/>
  <c r="K92" i="10"/>
  <c r="K95" i="10" s="1"/>
  <c r="K106" i="10" s="1"/>
  <c r="K107" i="10" s="1"/>
  <c r="K67" i="10"/>
  <c r="K90" i="10" s="1"/>
  <c r="N63" i="10" l="1"/>
  <c r="N66" i="10" s="1"/>
  <c r="M66" i="10"/>
  <c r="M67" i="10" s="1"/>
  <c r="M90" i="10" s="1"/>
  <c r="L89" i="10"/>
  <c r="L92" i="10" s="1"/>
  <c r="L95" i="10" s="1"/>
  <c r="L106" i="10" s="1"/>
  <c r="L107" i="10" s="1"/>
  <c r="N64" i="10" l="1"/>
  <c r="M89" i="10"/>
  <c r="M92" i="10" s="1"/>
  <c r="M95" i="10" s="1"/>
  <c r="M106" i="10" s="1"/>
  <c r="M107" i="10" s="1"/>
  <c r="N67" i="10"/>
  <c r="N90" i="10" s="1"/>
  <c r="N89" i="10"/>
  <c r="N92" i="10" l="1"/>
  <c r="N95" i="10" s="1"/>
  <c r="N106" i="10" s="1"/>
  <c r="N107" i="10" l="1"/>
  <c r="N112" i="10"/>
  <c r="N113" i="10" s="1"/>
  <c r="N114" i="10" l="1"/>
  <c r="N117" i="10" s="1"/>
  <c r="N119" i="10" s="1"/>
  <c r="H3" i="10" s="1"/>
  <c r="H5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<sst xmlns="http://schemas.openxmlformats.org/spreadsheetml/2006/main" count="878" uniqueCount="536">
  <si>
    <t>Gentex Corp (GNTX US) - As Reported</t>
  </si>
  <si>
    <t>In Millions of USD except Per Share</t>
  </si>
  <si>
    <t>FY 2021</t>
  </si>
  <si>
    <t>FY 2022</t>
  </si>
  <si>
    <t>FY 2023</t>
  </si>
  <si>
    <t>FY 2024</t>
  </si>
  <si>
    <t>FY 2025</t>
  </si>
  <si>
    <t>12 Months Ending</t>
  </si>
  <si>
    <t>12/31/2021</t>
  </si>
  <si>
    <t>12/31/2022</t>
  </si>
  <si>
    <t>12/31/2023</t>
  </si>
  <si>
    <t>12/31/2024</t>
  </si>
  <si>
    <t>12/31/2025</t>
  </si>
  <si>
    <t>Income Statement</t>
  </si>
  <si>
    <t xml:space="preserve">  Revenues</t>
  </si>
  <si>
    <t>Revenues</t>
  </si>
  <si>
    <t>ARD_REVENUES</t>
  </si>
  <si>
    <t>Total Revenue</t>
  </si>
  <si>
    <t>ARD_TOTAL_REVENUES</t>
  </si>
  <si>
    <t xml:space="preserve">  Operating Expenses</t>
  </si>
  <si>
    <t>Total Operating Expenses</t>
  </si>
  <si>
    <t>ARD_TOTAL_OPERATING_EXPENSES</t>
  </si>
  <si>
    <t>Cost of Goods Sold</t>
  </si>
  <si>
    <t>ARD_COST_OF_GOODS_SOLD</t>
  </si>
  <si>
    <t>R &amp; D Expenditures</t>
  </si>
  <si>
    <t>ARD_R&amp;D_EXPENDITURES</t>
  </si>
  <si>
    <t>Selling General and Administrative Expenses</t>
  </si>
  <si>
    <t>ARD_SELLING_GENERAL_ADMIN_EXP</t>
  </si>
  <si>
    <t>Other Operating Expenses</t>
  </si>
  <si>
    <t>ARD_OTHER_OPERATING_EXPENSES</t>
  </si>
  <si>
    <t>—</t>
  </si>
  <si>
    <t>Write-Down/Impairment of Assets</t>
  </si>
  <si>
    <t>ARD_WRITEDOWN_IMPAIR_OF_ASSETS</t>
  </si>
  <si>
    <t>Gross Profit</t>
  </si>
  <si>
    <t>ARD_GROSS_PROFITS</t>
  </si>
  <si>
    <t>Operating Income</t>
  </si>
  <si>
    <t>ARD_OPERATING_INCOME</t>
  </si>
  <si>
    <t xml:space="preserve">  Non-Operating Expenses</t>
  </si>
  <si>
    <t>Income Tax Expense (Benefit)</t>
  </si>
  <si>
    <t>ARD_INCOME_TAX_EXP_BENEFIT</t>
  </si>
  <si>
    <t>Investment Income</t>
  </si>
  <si>
    <t>ARD_INVESTMENT_INCOME</t>
  </si>
  <si>
    <t>Income Before Income Taxes</t>
  </si>
  <si>
    <t>ARD_INCOME_BEFORE_INCOME_TAXES</t>
  </si>
  <si>
    <t>Other Non-Operating (Income)/Expense - Net</t>
  </si>
  <si>
    <t>ARD_OTH_NON_OPER_INC_EXP_NET</t>
  </si>
  <si>
    <t xml:space="preserve">  Earnings</t>
  </si>
  <si>
    <t>Minority/Non Controlling Interest</t>
  </si>
  <si>
    <t>ARD_MINORITY_NONCONTROL_INTEREST</t>
  </si>
  <si>
    <t>Dividends Per Share</t>
  </si>
  <si>
    <t>ARD_DVD_PER_SH</t>
  </si>
  <si>
    <t>Basic EPS</t>
  </si>
  <si>
    <t>ARD_BASIC_EPS</t>
  </si>
  <si>
    <t>Weighted Avg. Shares - Basic</t>
  </si>
  <si>
    <t>ARD_WEIGHTED_AVG_SHARES_BASIC</t>
  </si>
  <si>
    <t>Diluted EPS</t>
  </si>
  <si>
    <t>ARD_DILUTED_EPS</t>
  </si>
  <si>
    <t>Weighted Avg. Shares - Diluted</t>
  </si>
  <si>
    <t>ARD_WEIGHTED_AVG_SHARE_DILUTED</t>
  </si>
  <si>
    <t>Net Income Available For Common Shareholders</t>
  </si>
  <si>
    <t>ARD_NET_INC_AVAIL_COM_SHRHLDR</t>
  </si>
  <si>
    <t>Profit After Taxation Before Minority</t>
  </si>
  <si>
    <t>ARD_PROF_AFTER_TAX_BEF_MINORITY</t>
  </si>
  <si>
    <t>Cumulative Net Income</t>
  </si>
  <si>
    <t>ARD_CUMULATIVE_NET_INCOME</t>
  </si>
  <si>
    <t>Net Income</t>
  </si>
  <si>
    <t>ARD_NET_INC</t>
  </si>
  <si>
    <t xml:space="preserve">  Comprehensive Income</t>
  </si>
  <si>
    <t>Foreign Currency Translation Adjustments</t>
  </si>
  <si>
    <t>ARD_FOR_CRNCY_TRANSLATION_ADJ</t>
  </si>
  <si>
    <t>Unrealized Gain (Loss) On Securities</t>
  </si>
  <si>
    <t>ARD_UNREALIZED_GL_ON_SECS</t>
  </si>
  <si>
    <t>Income Tax Exp Related to Comprehensive Income</t>
  </si>
  <si>
    <t>ARD_INC_TAX_RELATE_TO_COMP_INC</t>
  </si>
  <si>
    <t>Other Comprehensive Income</t>
  </si>
  <si>
    <t>ARD_OTHER_COMPREHENSIVE_INCOME</t>
  </si>
  <si>
    <t>Total Comprehensive Income</t>
  </si>
  <si>
    <t>ARD_TOTAL_COMPREHENSIVE_INCOME</t>
  </si>
  <si>
    <t>Net Income - Comprehensive Income</t>
  </si>
  <si>
    <t>ARD_COMPREHENSIVE_INCOME_NET_INC</t>
  </si>
  <si>
    <t>ARDR_COMPR_INCOME_NET_INC</t>
  </si>
  <si>
    <t xml:space="preserve">  Others</t>
  </si>
  <si>
    <t xml:space="preserve">  Reference Items</t>
  </si>
  <si>
    <t>Amortization Expense</t>
  </si>
  <si>
    <t>ARDR_AMORT_EXP</t>
  </si>
  <si>
    <t>Depreciation Expense</t>
  </si>
  <si>
    <t>ARDR_DEPRECIATION_EXP</t>
  </si>
  <si>
    <t>Selling General and Administrative Expense</t>
  </si>
  <si>
    <t>ARDR_SELLING_GENERAL_ADMIN_EXP</t>
  </si>
  <si>
    <t>Depreciation and Amortization</t>
  </si>
  <si>
    <t>ARDR_DEPRECIATION_AMORTIZATION</t>
  </si>
  <si>
    <t>Interest Expense</t>
  </si>
  <si>
    <t>ARDR_INT_EXP</t>
  </si>
  <si>
    <t>(Gain)/Loss On Sale of Assets</t>
  </si>
  <si>
    <t>ARDR_GL_ON_SALE_OF_ASSETS</t>
  </si>
  <si>
    <t>ARDR_WRITEDOWN_IMPAIR_OF_ASSETS</t>
  </si>
  <si>
    <t>Restructuring Charges</t>
  </si>
  <si>
    <t>ARDR_RESTRUCTURING_CHARGES</t>
  </si>
  <si>
    <t>ARDR_INCOME_TAX_EXP_BENEFIT</t>
  </si>
  <si>
    <t>ARDR_FOR_CRNCY_TRANSLATION_ADJ</t>
  </si>
  <si>
    <t>ARDR_UNREALIZED_GL_ON_SECS</t>
  </si>
  <si>
    <t>Change In Fair Value of Derivatives</t>
  </si>
  <si>
    <t>ARDR_CHG_FAIR_VAL_OF_DERIVATIVES</t>
  </si>
  <si>
    <t>Inc Tax Exp Related to Comprehensive Inc</t>
  </si>
  <si>
    <t>ARDR_INC_TAX_RELATE_TO_COMP_INC</t>
  </si>
  <si>
    <t>ARDR_OTHER_COMPREHENSIVE_INCOME</t>
  </si>
  <si>
    <t>Total Cash Common Dividends</t>
  </si>
  <si>
    <t>ARDR_TOTAL_CASH_COMMON_DVD</t>
  </si>
  <si>
    <t>ARDR_DVD_PER_SH</t>
  </si>
  <si>
    <t>ARDR_BASIC_EPS</t>
  </si>
  <si>
    <t>ARDR_WEIGHTED_AVG_SHARES_BASIC</t>
  </si>
  <si>
    <t>ARDR_DILUTED_EPS</t>
  </si>
  <si>
    <t>ARDR_WEIGHTED_AVG_SHARE_DILUTED</t>
  </si>
  <si>
    <t>Stock Based Compensation Expense</t>
  </si>
  <si>
    <t>ARDR_STK_BASED_COMPENSATION_EXP</t>
  </si>
  <si>
    <t>ARDR_TOTAL_COMPREHENSIVE_INCOME</t>
  </si>
  <si>
    <t>Amortization of Intangible Assets</t>
  </si>
  <si>
    <t>ARDR_AMORT_OF_INTANGIBLE_ASSETS</t>
  </si>
  <si>
    <t>(Gain)/Loss On Sale of Investments</t>
  </si>
  <si>
    <t>ARDR_GL_ON_SALE_OF_INVESTMENTS</t>
  </si>
  <si>
    <t>Current Income Tax Expense (Benefit)</t>
  </si>
  <si>
    <t>ARDR_CUR_INCOME_TAX_EXP_BENEFIT</t>
  </si>
  <si>
    <t>Net Inc Available For Common Shareholders</t>
  </si>
  <si>
    <t>ARDR_NET_INC_AVAIL_COM_SHRHLDR</t>
  </si>
  <si>
    <t>Effective Tax Rate - %</t>
  </si>
  <si>
    <t>ARDR_EFFECTIVE_TAX_RATE_PCT</t>
  </si>
  <si>
    <t>Total Fees Paid To Audit Firms</t>
  </si>
  <si>
    <t>ARDR_TOT_FEES_PAID_AUDIT_FIRMS</t>
  </si>
  <si>
    <t>Auditor Expense - Audit</t>
  </si>
  <si>
    <t>ARDR_AUDITOR_EXP_AUDIT</t>
  </si>
  <si>
    <t>Auditor Expense - Non Audit</t>
  </si>
  <si>
    <t>ARDR_AUDITOR_EXP_NON_AUDIT</t>
  </si>
  <si>
    <t>Diluted Net Income</t>
  </si>
  <si>
    <t>ARDR_DILUTED_NET_INCOME</t>
  </si>
  <si>
    <t>Statutory Tax Rate - %</t>
  </si>
  <si>
    <t>ARDR_STATUTORY_TAX_RATE_PCT</t>
  </si>
  <si>
    <t>ARDR Restructuring After Tax</t>
  </si>
  <si>
    <t>ARDR_RESTRUCTURING_AFTER_TAX</t>
  </si>
  <si>
    <t>Advertising Expenses</t>
  </si>
  <si>
    <t>ARDR_ADVERTISING_EXPENSES</t>
  </si>
  <si>
    <t>Income Tax Exp - Current Taxes (Intl)</t>
  </si>
  <si>
    <t>ARDR_ITE_CURRENT_TAX_INTL</t>
  </si>
  <si>
    <t>Income Tax Exp - Current Taxes (National)</t>
  </si>
  <si>
    <t>ARDR_ITE_CURRENT_TAX_NATL</t>
  </si>
  <si>
    <t>Income Tax Exp - Current Taxes (Local)</t>
  </si>
  <si>
    <t>ARDR_ITE_CURRENT_TAX_LCL</t>
  </si>
  <si>
    <t>Income Tax Exp - Deferred Taxes (National)</t>
  </si>
  <si>
    <t>ARDR_ITE_DEFERRED_TAX_NATL</t>
  </si>
  <si>
    <t>Restructuring/Workflow Bal - Non-GAAP COGS</t>
  </si>
  <si>
    <t>ARDR_RSTRCT_WF_BAL_NON_GAAP_COGS</t>
  </si>
  <si>
    <t>ARDR Gross Margin</t>
  </si>
  <si>
    <t>ARDR_GROSS_MARGIN</t>
  </si>
  <si>
    <t>ARDR Revenue Growth</t>
  </si>
  <si>
    <t>ARDR_REVENUE_GROWTH</t>
  </si>
  <si>
    <t>Capital Expenditures As Reported</t>
  </si>
  <si>
    <t>ARDR_CAPEX_AS_REPORTED</t>
  </si>
  <si>
    <t>ARDR Stock Based Compensation CF Pre Tax</t>
  </si>
  <si>
    <t>ARDR_STK_BSD_CMPNSTN_CF_PRE_TAX</t>
  </si>
  <si>
    <t>Source: Bloomberg</t>
  </si>
  <si>
    <t>Right click to show data transparency (not supported for all values)</t>
  </si>
  <si>
    <t>Balance Sheet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</si>
  <si>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</si>
  <si>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</si>
  <si>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</si>
  <si>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</si>
  <si>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</si>
  <si>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Inventories</t>
  </si>
  <si>
    <t>ARD_INVENTORY</t>
  </si>
  <si>
    <t>Prepaid Expenses and Other</t>
  </si>
  <si>
    <t>ARD_PREPAID_EXP_AND_OTHER</t>
  </si>
  <si>
    <t>Restricted Cash (Short-Term)</t>
  </si>
  <si>
    <t>ARD_RESTRICTED_CASH_ST</t>
  </si>
  <si>
    <t>Other Current Assets</t>
  </si>
  <si>
    <t>ARD_OTHER_CURRENT_ASSETS</t>
  </si>
  <si>
    <t>Short-Term Investments</t>
  </si>
  <si>
    <t>ARD_ST_INVEST</t>
  </si>
  <si>
    <t>Total Current Assets</t>
  </si>
  <si>
    <t>ARD_TOTAL_CUR_ASSETS</t>
  </si>
  <si>
    <t xml:space="preserve">  Noncurrent Assets</t>
  </si>
  <si>
    <t>Long Term Investments</t>
  </si>
  <si>
    <t>ARD_LT_INVEST</t>
  </si>
  <si>
    <t>Land and Buildings</t>
  </si>
  <si>
    <t>ARD_LAND_AND_BUILDINGS</t>
  </si>
  <si>
    <t>Construction In Progress</t>
  </si>
  <si>
    <t>ARD_CONSTRUCTION_IN_PROGRESS</t>
  </si>
  <si>
    <t>Furniture/Machinery/Equipment</t>
  </si>
  <si>
    <t>ARD_FURNITURE_MACHINERY_EQUIP</t>
  </si>
  <si>
    <t>Property Plant &amp; Equipment - Gross</t>
  </si>
  <si>
    <t>ARD_PROPERTY_PLANT_EQUIP_GROSS</t>
  </si>
  <si>
    <t>Accumulated Depreciation</t>
  </si>
  <si>
    <t>ARD_ACCUMULATED_DEPREC</t>
  </si>
  <si>
    <t>Property Plant &amp; Equipment - Net</t>
  </si>
  <si>
    <t>ARD_PROPERTY_PLANT_EQUIP_NET</t>
  </si>
  <si>
    <t>Deferred Income Tax Asset (Long-Term)</t>
  </si>
  <si>
    <t>ARD_DEFERRED_INC_TAX_ASSET_LT</t>
  </si>
  <si>
    <t>Other Intangible Assets</t>
  </si>
  <si>
    <t>ARD_OTHER_INTANGIBLE_ASSET</t>
  </si>
  <si>
    <t>Investment In Affiliates/Joint Ventures</t>
  </si>
  <si>
    <t>ARD_INVESTMENT_IN_AFFILIATE_JV</t>
  </si>
  <si>
    <t>Goodwill</t>
  </si>
  <si>
    <t>ARD_GOODWLL</t>
  </si>
  <si>
    <t>Patents/Trademarks/Copyrights</t>
  </si>
  <si>
    <t>ARD_PATENTS_TRADEMRK_COPYRIGHT</t>
  </si>
  <si>
    <t>Total Non-Current Assets</t>
  </si>
  <si>
    <t>ARD_TOTAL_NONCURRENT_ASSETS</t>
  </si>
  <si>
    <t>Total Assets</t>
  </si>
  <si>
    <t>ARD_TOT_ASSETS</t>
  </si>
  <si>
    <t xml:space="preserve">  Current Liabilities</t>
  </si>
  <si>
    <t>Accounts Payable - Trade</t>
  </si>
  <si>
    <t>ARD_ACCOUNTS_PAYABLE_TRADE</t>
  </si>
  <si>
    <t>Current Portion of Long-Term Debt</t>
  </si>
  <si>
    <t>ARD_CURRENT_PORTION_OF_LT_DEBT</t>
  </si>
  <si>
    <t>Accrued Compensation/Postretirement Obligation</t>
  </si>
  <si>
    <t>ARD_ACC_COMP_POSTRETIRE_OBLIG</t>
  </si>
  <si>
    <t>Accrued Expenses</t>
  </si>
  <si>
    <t>ARD_ACCRUED_EXPENSES</t>
  </si>
  <si>
    <t>Dividends Accrued/Payable</t>
  </si>
  <si>
    <t>ARD_DVD_ACCRUED_PAYABLE</t>
  </si>
  <si>
    <t>Other Current Liabilities</t>
  </si>
  <si>
    <t>ARD_OTHER_CURRENT_LIABILITIES</t>
  </si>
  <si>
    <t>Income Taxes Accrued/Payable</t>
  </si>
  <si>
    <t>ARD_INCOME_TAX_ACCRUED_PAYABLE</t>
  </si>
  <si>
    <t>Total Current Liabilities</t>
  </si>
  <si>
    <t>ARD_TOTAL_CURRENT_LIABILITIES</t>
  </si>
  <si>
    <t xml:space="preserve">  Non Current Liabilities</t>
  </si>
  <si>
    <t>Long Term Debt</t>
  </si>
  <si>
    <t>ARD_LT_DEBT</t>
  </si>
  <si>
    <t>Deferred Income Taxes (Liabilities)</t>
  </si>
  <si>
    <t>ARD_DEFERRED_INCOME_TAXES_LIAB</t>
  </si>
  <si>
    <t>Other Noncurrent Liabilities</t>
  </si>
  <si>
    <t>ARD_OTH_NONCURRENT_LIABILITIES</t>
  </si>
  <si>
    <t>Total Liabilities</t>
  </si>
  <si>
    <t>ARD_TOT_LIABILITIES</t>
  </si>
  <si>
    <t xml:space="preserve">  Stockholder Equity</t>
  </si>
  <si>
    <t>Preferred Stock</t>
  </si>
  <si>
    <t>ARD_PREFERRED_STOCK</t>
  </si>
  <si>
    <t>Minority/Non Controlling Int (Stckhldrs Eqty)</t>
  </si>
  <si>
    <t>ARD_MIN_NONCONTROL_INT_SE</t>
  </si>
  <si>
    <t>Common Stock</t>
  </si>
  <si>
    <t>ARD_COMMON_STOCK</t>
  </si>
  <si>
    <t>Additional Paid In Capital</t>
  </si>
  <si>
    <t>ARD_ADDITIONAL_PAID_IN_CAPITAL</t>
  </si>
  <si>
    <t>Accumulated Other Comprehensive Income</t>
  </si>
  <si>
    <t>ARD_ACC_OTH_COMPREHENSIVE_INC</t>
  </si>
  <si>
    <t>Retained Earnings (Accumulated Deficit)</t>
  </si>
  <si>
    <t>ARD_RETAINED_EARN_ACC_DEFICIT</t>
  </si>
  <si>
    <t>Other Equity</t>
  </si>
  <si>
    <t>ARD_OTHER_EQUITY</t>
  </si>
  <si>
    <t>Shares Outstanding</t>
  </si>
  <si>
    <t>ARD_SHARES_OUTSTANDING</t>
  </si>
  <si>
    <t>Par Value</t>
  </si>
  <si>
    <t>ARD_PAR_VALUE</t>
  </si>
  <si>
    <t>Total Shareholders Equity</t>
  </si>
  <si>
    <t>ARD_TOTAL_SHAREHOLDERS_EQUITY</t>
  </si>
  <si>
    <t>Shares Authorized</t>
  </si>
  <si>
    <t>ARD_SHARES_AUTHORIZED</t>
  </si>
  <si>
    <t>Total Liabilities and Shareholders Equity</t>
  </si>
  <si>
    <t>ARD_TOT_LIAB_AND_SHAREHOLDER_EQY</t>
  </si>
  <si>
    <t>ARDR_INVENTORY</t>
  </si>
  <si>
    <t>Deferred Income Tax Asset (LT)</t>
  </si>
  <si>
    <t>ARDR_DEFERRED_INC_TAX_ASSET_LT</t>
  </si>
  <si>
    <t>ARDR_OTHER_INTANGIBLE_ASSET</t>
  </si>
  <si>
    <t>ARDR_GOODWLL</t>
  </si>
  <si>
    <t>ARDR_PATENTS_TRADEMRK_COPYRIGHT</t>
  </si>
  <si>
    <t>ARDR_DEFERRED_INCOME_TAXES_LIAB</t>
  </si>
  <si>
    <t>Min/Non Cntrlling Int(Stckhldrs Eqty)</t>
  </si>
  <si>
    <t>ARDR_MIN_NONCONTROL_INT_SE</t>
  </si>
  <si>
    <t>ARDR_COMMON_STOCK</t>
  </si>
  <si>
    <t>ARDR_ADDITIONAL_PAID_IN_CAPITAL</t>
  </si>
  <si>
    <t>ARDR_ACC_OTH_COMPREHENSIVE_INC</t>
  </si>
  <si>
    <t>ARDR_RETAINED_EARN_ACC_DEFICIT</t>
  </si>
  <si>
    <t>ARDR_SHARES_OUTSTANDING</t>
  </si>
  <si>
    <t>ARDR_PAR_VALUE</t>
  </si>
  <si>
    <t>Raw Materials</t>
  </si>
  <si>
    <t>ARDR_RAW_MATERIAL</t>
  </si>
  <si>
    <t>Work In Progress</t>
  </si>
  <si>
    <t>ARDR_WORK_IN_PROGRESS</t>
  </si>
  <si>
    <t>Finished Goods</t>
  </si>
  <si>
    <t>ARDR_FINISHED_GOOD</t>
  </si>
  <si>
    <t>Total Line of Credit</t>
  </si>
  <si>
    <t>ARDR_TOTAL_LINE_OF_CREDIT</t>
  </si>
  <si>
    <t>Total Available Line of Credit</t>
  </si>
  <si>
    <t>ARDR_TOTAL_AVAIL_LINE_OF_CREDIT</t>
  </si>
  <si>
    <t>Future Minimum Operating Lease Obligations</t>
  </si>
  <si>
    <t>ARDR_FUT_MIN_OPER_LEASE_OBLIG</t>
  </si>
  <si>
    <t>Rental Expense - Year 1</t>
  </si>
  <si>
    <t>ARDR_RENTAL_EXP_YR1</t>
  </si>
  <si>
    <t>Rental Expense - Year 2</t>
  </si>
  <si>
    <t>ARDR_RENTAL_EXP_YR2</t>
  </si>
  <si>
    <t>Rental Expense - Year 3</t>
  </si>
  <si>
    <t>ARDR_RENTAL_EXP_YR3</t>
  </si>
  <si>
    <t>Rental Expense - Year 4</t>
  </si>
  <si>
    <t>ARDR_RENTAL_EXP_YR4</t>
  </si>
  <si>
    <t>Rental Expense - Year 5</t>
  </si>
  <si>
    <t>ARDR_RENTAL_EXP_YR5</t>
  </si>
  <si>
    <t>Rental Expense - Beyond Year 5</t>
  </si>
  <si>
    <t>ARDR_RENTAL_EXP_BEYOND_YR5</t>
  </si>
  <si>
    <t>Deferred Tax Liabilities (LT)</t>
  </si>
  <si>
    <t>ARDR_DEFERRED_TAX_LIAB_LT</t>
  </si>
  <si>
    <t>Deferred Tax Assets (LT)</t>
  </si>
  <si>
    <t>ARDR_DEFERRED_TAX_ASSETS_LT</t>
  </si>
  <si>
    <t>Allowance For Doubtful Accounts</t>
  </si>
  <si>
    <t>ARDR_ALLOW_FOR_DOUBTFUL_ACCTS</t>
  </si>
  <si>
    <t>ARDR_TOTAL_SHAREHOLDERS_EQUITY</t>
  </si>
  <si>
    <t>Number of Employees</t>
  </si>
  <si>
    <t>ARDR_NUMBER_EMPLOYEES</t>
  </si>
  <si>
    <t>Shares Outstanding From The Front Cover</t>
  </si>
  <si>
    <t>ARDR_SHARE_OUT_FROM_FRONT_COVER</t>
  </si>
  <si>
    <t>Licenses</t>
  </si>
  <si>
    <t>ARDR_LICENSES</t>
  </si>
  <si>
    <t>Customer Lists/Contracts</t>
  </si>
  <si>
    <t>ARDR_CUSTOMER_LISTS_CONTRACTS</t>
  </si>
  <si>
    <t>Accumulated Amortization Intangible Assets</t>
  </si>
  <si>
    <t>ARDR_ACCCUM_AMORT_INTANG_ASSET</t>
  </si>
  <si>
    <t>Options Granted During Period</t>
  </si>
  <si>
    <t>ARDR_OPTIONS_GRANTED_DURING_PER</t>
  </si>
  <si>
    <t>Options Outstanding End Period</t>
  </si>
  <si>
    <t>ARDR_OPTIONS_OUTSTANDING_END_PER</t>
  </si>
  <si>
    <t>Options Exercised During the Period</t>
  </si>
  <si>
    <t>ARDR_OPTIONS_EXERCISED_DUR_PER</t>
  </si>
  <si>
    <t>Deferred Income Tax Liability Long -Term</t>
  </si>
  <si>
    <t>ARDR_DEFERRED_INC_TAB_LIAB_LT</t>
  </si>
  <si>
    <t>Total Credit Utilized</t>
  </si>
  <si>
    <t>ARDR_TOTAL_CREDIT_UTILIZED</t>
  </si>
  <si>
    <t>Purchase Obligations</t>
  </si>
  <si>
    <t>ARDR_PURCHASE_OBLIGATIONS</t>
  </si>
  <si>
    <t>Number of Common Shares Repurchased</t>
  </si>
  <si>
    <t>ARDR_COMMON_SHARES_REPURCHASED</t>
  </si>
  <si>
    <t>ARDR Total Operating Liabilities</t>
  </si>
  <si>
    <t>ARDR_TOTAL_OPERATING_LIABILITIES</t>
  </si>
  <si>
    <t>Fair Value Assets Recur - Level 1</t>
  </si>
  <si>
    <t>ARDR_FV_ASSETS_REC_LEVEL_1</t>
  </si>
  <si>
    <t>Fair Value Assets Recur - Level 2</t>
  </si>
  <si>
    <t>ARDR_FV_ASSETS_REC_LEVEL_2</t>
  </si>
  <si>
    <t>Fair Value Assets Recur - Level 3</t>
  </si>
  <si>
    <t>ARDR_FV_ASSETS_REC_LEVEL_3</t>
  </si>
  <si>
    <t>Fair Value Assets Recur - Total</t>
  </si>
  <si>
    <t>ARDR_FV_ASSETS_REC_TOTAL</t>
  </si>
  <si>
    <t>Contractual Obligations - Year 1</t>
  </si>
  <si>
    <t>ARDR_CONTRACTUAL_OBLIG_YEAR_1</t>
  </si>
  <si>
    <t>Contractual Obligations Years - 2 &amp; 3</t>
  </si>
  <si>
    <t>ARDR_CONTRACTUAL_OBLIG_YEAR_2_3</t>
  </si>
  <si>
    <t>Contractual Obligations - Beyond Year 5</t>
  </si>
  <si>
    <t>ARDR_CONT_OBLIG_BEYOND_YEAR_5</t>
  </si>
  <si>
    <t>Total Contractual Obligations</t>
  </si>
  <si>
    <t>ARDR_CONTRACTUAL_OBLIG_TOTAL</t>
  </si>
  <si>
    <t>Rental Expense - Years 2 - 3</t>
  </si>
  <si>
    <t>ARDR_RENTAL_EXPENSE_YEARS_2_3</t>
  </si>
  <si>
    <t>PV of Future Min Op Lease Obligations</t>
  </si>
  <si>
    <t>ARDR_PV_FUTURE_MIN_OP_LEASE_OBL</t>
  </si>
  <si>
    <t>Contractual Obligations - Years 2 - 5</t>
  </si>
  <si>
    <t>ARDR_CONTRACTUAL_OBLIG_YEAR_2_5</t>
  </si>
  <si>
    <t>Weighted Average Cost of Options Granted</t>
  </si>
  <si>
    <t>ARDR_WEI_AVG_COST_OPTIONS_GRANT</t>
  </si>
  <si>
    <t>Stock Opt Valuation - Risk Free Rate (%)</t>
  </si>
  <si>
    <t>ARDR_STOCK_OPTION_VAL_RFR</t>
  </si>
  <si>
    <t>Stock Opt Valuation - Expected Life (Yrs)</t>
  </si>
  <si>
    <t>ARDR_STOCK_OPTION_VAL_EXP_LIFE</t>
  </si>
  <si>
    <t>Stock Opt Valuation - Expected Volatil (%)</t>
  </si>
  <si>
    <t>ARDR_STOCK_OPTION_VAL_EXP_VOL</t>
  </si>
  <si>
    <t>Stock Opt Valuation - Dividend Yield (%)</t>
  </si>
  <si>
    <t>ARDR_STOCK_OPTION_VAL_DVD_YLD</t>
  </si>
  <si>
    <t>Avg Exercise Price (Options Exercisable)</t>
  </si>
  <si>
    <t>ARDR_AVG_EXER_PX_OPT_EXERCISABLE</t>
  </si>
  <si>
    <t>Avg Exercise Price (Options Outstanding)</t>
  </si>
  <si>
    <t>ARDR_AVG_EXER_PX_OPT_OUTSTANDING</t>
  </si>
  <si>
    <t>Options Exercisable End of Period</t>
  </si>
  <si>
    <t>ARDR_OPTIONS_EXERCISABLE</t>
  </si>
  <si>
    <t>FV Assets Rec L1: Cash and Securities</t>
  </si>
  <si>
    <t>ARDR_FV_ASSETS_REC_L1_CASH_SECS</t>
  </si>
  <si>
    <t>FV Assets Rec L1: Other</t>
  </si>
  <si>
    <t>ARDR_FV_ASSETS_REC_L1_OTHER</t>
  </si>
  <si>
    <t>FV Assets Rec L2: Cash and Securities</t>
  </si>
  <si>
    <t>ARDR_FV_ASTS_REC_L2_CASH_SECS</t>
  </si>
  <si>
    <t>FV Assets Rec L2: Other</t>
  </si>
  <si>
    <t>ARDR_FV_ASSETS_REC_L2_OTH</t>
  </si>
  <si>
    <t>FV Assets Rec L3: Cash and Sec</t>
  </si>
  <si>
    <t>ARDR_FV_ASTS_REC_L3_CASH_SECS</t>
  </si>
  <si>
    <t>FV Assets Rec L3: Other</t>
  </si>
  <si>
    <t>ARDR_FV_ASSETS_REC_L3_OTHER</t>
  </si>
  <si>
    <t>FV Assets Rec Total: Cash Securities</t>
  </si>
  <si>
    <t>ARDR_FV_ASSETS_REC_TOT_CASH_SECS</t>
  </si>
  <si>
    <t>FV Assets Rec Total: Other</t>
  </si>
  <si>
    <t>ARDR_FV_ASSETS_REC_TOT_OTHER</t>
  </si>
  <si>
    <t>Options at Beginning of Period</t>
  </si>
  <si>
    <t>ARDR_OPTIONS_BEGINNING_OF_PERIOD</t>
  </si>
  <si>
    <t>Options Cancelled Forfeited or Expired</t>
  </si>
  <si>
    <t>ARDR_OPTIONS_CANCEL_FORFEIT_EXP</t>
  </si>
  <si>
    <t>Options Adjustment</t>
  </si>
  <si>
    <t>ARDR_OPTIONS_ADJUSTMENT</t>
  </si>
  <si>
    <t>Average Price per Share Repurchased</t>
  </si>
  <si>
    <t>ARDR_AVG_PRICE_PER_SHARE_REPURCH</t>
  </si>
  <si>
    <t>UTB Balance at Beginning Period</t>
  </si>
  <si>
    <t>ARDR_UTB_BALANCE_BEGIN_PERIOD</t>
  </si>
  <si>
    <t>UTB Balance at Period End</t>
  </si>
  <si>
    <t>ARDR_UTB_BALANCE_END_PERIOD</t>
  </si>
  <si>
    <t>Additions for Tax Positions of the Crnt Yr</t>
  </si>
  <si>
    <t>ARDR_ADDITIONS_TAX_POS_CUR_YR</t>
  </si>
  <si>
    <t>Additions for Tax Positions of Prior Years</t>
  </si>
  <si>
    <t>ARDR_ADDITIONS_TAX_POS_PR_YR</t>
  </si>
  <si>
    <t>Reductions for Tax Positions for Prior Yrs</t>
  </si>
  <si>
    <t>ARDR_REDUCTIONS_TAX_POS_PR_YR</t>
  </si>
  <si>
    <t>ARDR Full Time Employees</t>
  </si>
  <si>
    <t>ARDR_FULL_TIME_EMPLOYEES</t>
  </si>
  <si>
    <t>ARDR Remaining # Shares Auth Und Repurch Prog</t>
  </si>
  <si>
    <t>ARDR_REM_#_SHS_AUTH_UND_REP_PROG</t>
  </si>
  <si>
    <t>ARDR Number Shares Repurchased Repurchase Program</t>
  </si>
  <si>
    <t>ARDR_#_SHS_REPURCH_FR_REP_PROG</t>
  </si>
  <si>
    <t>Cash Flow</t>
  </si>
  <si>
    <t xml:space="preserve">  Cash From Operating Activities</t>
  </si>
  <si>
    <t>Net Income - CF</t>
  </si>
  <si>
    <t>ARD_NET_INCOME_CF</t>
  </si>
  <si>
    <t>Depreciation And Amortization - CF</t>
  </si>
  <si>
    <t>ARD_DEPRECIATION_AND_AMORT_CF</t>
  </si>
  <si>
    <t>Deferred Income Taxes - CF</t>
  </si>
  <si>
    <t>ARD_DEFERRED_INCOME_TAXES_CF</t>
  </si>
  <si>
    <t>Disposal/Sale of Assets</t>
  </si>
  <si>
    <t>ARD_DISPOSAL_SALE_OF_ASSETS</t>
  </si>
  <si>
    <t>Stock Based Compensation</t>
  </si>
  <si>
    <t>ARD_STOCK_BASED_COMPENSATION</t>
  </si>
  <si>
    <t>Change in Inventories</t>
  </si>
  <si>
    <t>ARD_CHANGE_IN_INVENTORIES</t>
  </si>
  <si>
    <t>Change in Accounts Payable</t>
  </si>
  <si>
    <t>ARD_CHANGE_IN_ACCOUNTS_PAYABLE</t>
  </si>
  <si>
    <t>Change in Accounts Receivable</t>
  </si>
  <si>
    <t>ARD_CHG_IN_ACCOUNTS_RECEIVABLE</t>
  </si>
  <si>
    <t>Change in Prepaid Expenses</t>
  </si>
  <si>
    <t>ARD_CHANGE_IN_PREPAID_EXP</t>
  </si>
  <si>
    <t>Change in Accrued Expenses</t>
  </si>
  <si>
    <t>ARD_CHANGE_IN_ACCRUED_EXP</t>
  </si>
  <si>
    <t>Impairments</t>
  </si>
  <si>
    <t>ARD_IMPAIRMENTS</t>
  </si>
  <si>
    <t>Total Cash Flows From Operations</t>
  </si>
  <si>
    <t>ARD_TOT_CASH_FLOWS_FROM_OPS</t>
  </si>
  <si>
    <t>Gain (Loss) On Sale of Investments and Mkt Sec</t>
  </si>
  <si>
    <t>ARD_GL_ON_SALE_OF_INV_MKT_SEC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</si>
  <si>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</si>
  <si>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</si>
  <si>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</si>
  <si>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</si>
  <si>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</si>
  <si>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Proceeds From Investments</t>
  </si>
  <si>
    <t>ARD_PROCEEDS_FROM_INVESTMENTS</t>
  </si>
  <si>
    <t>Purchases of Investments</t>
  </si>
  <si>
    <t>ARD_PURCHASES_OF_INVESTMENTS</t>
  </si>
  <si>
    <t>Acquisition of Business</t>
  </si>
  <si>
    <t>ARD_ACQUISITION_OF_BUSINESS</t>
  </si>
  <si>
    <t>Other Investing Activities</t>
  </si>
  <si>
    <t>ARD_OTHER_INVESTING_ACTIVITIES</t>
  </si>
  <si>
    <t>Purchase Of Associates/Joint Ventures</t>
  </si>
  <si>
    <t>ARD_PURCHASE_ASSOC_JOINT_VENTURE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</si>
  <si>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</si>
  <si>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</si>
  <si>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</si>
  <si>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</si>
  <si>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</si>
  <si>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Increase In Long-Term Borrowings</t>
  </si>
  <si>
    <t>ARD_INCR_IN_LT_BORROW</t>
  </si>
  <si>
    <t>Decrease In Long-Term Borrowings</t>
  </si>
  <si>
    <t>ARD_DECR_IN_LT_BORROW</t>
  </si>
  <si>
    <t>Issuance of Common Stock</t>
  </si>
  <si>
    <t>ARD_ISSUANCE_OF_COMMON_STOCK</t>
  </si>
  <si>
    <t>Repurchase of Common Stock</t>
  </si>
  <si>
    <t>ARD_REPURCHASE_OF_COMMON_STOCK</t>
  </si>
  <si>
    <t>Net Change In Cash</t>
  </si>
  <si>
    <t>ARD_NET_CHANGE_IN_CASH</t>
  </si>
  <si>
    <t>Cash and Cash Equivalents (End of Period)</t>
  </si>
  <si>
    <t>ARD_CASH_CASH_EQUIV_END_OF_PER</t>
  </si>
  <si>
    <t>Cash and Cash Equivalents (Beg of Period)</t>
  </si>
  <si>
    <t>ARD_CASH_CASH_EQUIV_BEG_OF_PER</t>
  </si>
  <si>
    <t>Total Cash Flows From Financing</t>
  </si>
  <si>
    <t>ARD_TOT_CASHFLOWS_FROM_FINANCING</t>
  </si>
  <si>
    <t>Cash Paid For Taxes</t>
  </si>
  <si>
    <t>ARDR_CASH_PAID_FOR_TAXES</t>
  </si>
  <si>
    <t>Revenue</t>
  </si>
  <si>
    <t>DCF</t>
  </si>
  <si>
    <t>Ticker</t>
  </si>
  <si>
    <t>Implied Share Price</t>
  </si>
  <si>
    <t>Date</t>
  </si>
  <si>
    <t>Current Share Price</t>
  </si>
  <si>
    <t>Year-End</t>
  </si>
  <si>
    <t>Implied Upside / (Downside)</t>
  </si>
  <si>
    <t>x</t>
  </si>
  <si>
    <t>Assumptions</t>
  </si>
  <si>
    <t>Switches</t>
  </si>
  <si>
    <t>Conservative</t>
  </si>
  <si>
    <t>Base</t>
  </si>
  <si>
    <t>Optimistic</t>
  </si>
  <si>
    <t>Year</t>
  </si>
  <si>
    <t>Metric</t>
  </si>
  <si>
    <t>Insurance and Other</t>
  </si>
  <si>
    <t>Costs &amp; OpEx</t>
  </si>
  <si>
    <t>Valuation</t>
  </si>
  <si>
    <t>WACC</t>
  </si>
  <si>
    <t>TGR</t>
  </si>
  <si>
    <t>Other Assumptions</t>
  </si>
  <si>
    <t>Taxes</t>
  </si>
  <si>
    <t>D&amp;A</t>
  </si>
  <si>
    <t>CapEx</t>
  </si>
  <si>
    <t>Change in NWC</t>
  </si>
  <si>
    <t>Revenue Build</t>
  </si>
  <si>
    <t>% growth</t>
  </si>
  <si>
    <t xml:space="preserve">  Conservative</t>
  </si>
  <si>
    <t xml:space="preserve">  Base</t>
  </si>
  <si>
    <t xml:space="preserve">  Optimistic</t>
  </si>
  <si>
    <t>Costs &amp; OpEx Build</t>
  </si>
  <si>
    <t>% margin</t>
  </si>
  <si>
    <t>Total Costs * OpEx</t>
  </si>
  <si>
    <t>EBIT</t>
  </si>
  <si>
    <t>Earnings Before Taxes</t>
  </si>
  <si>
    <t>% tax rate</t>
  </si>
  <si>
    <t>Cash Flow Items</t>
  </si>
  <si>
    <t>% of sales</t>
  </si>
  <si>
    <t>% of change in sales</t>
  </si>
  <si>
    <t>EBIAT</t>
  </si>
  <si>
    <t>Unlevered Free Cash Flow</t>
  </si>
  <si>
    <t>Present Value of Free Cash Flow</t>
  </si>
  <si>
    <t>Period</t>
  </si>
  <si>
    <t>Discount Period</t>
  </si>
  <si>
    <t>Terminal Value</t>
  </si>
  <si>
    <t>Present Value of Terminal Value</t>
  </si>
  <si>
    <t>Enterprise Value</t>
  </si>
  <si>
    <t>(+) Cash</t>
  </si>
  <si>
    <t>(-) Debt</t>
  </si>
  <si>
    <t>Implied Equity Value</t>
  </si>
  <si>
    <t>Share Count</t>
  </si>
  <si>
    <t>COGS</t>
  </si>
  <si>
    <t>R&amp;D Ex</t>
  </si>
  <si>
    <t>SG&amp;A</t>
  </si>
  <si>
    <t>--</t>
  </si>
  <si>
    <t>GNTX</t>
  </si>
  <si>
    <t>share value (12/31/2025</t>
  </si>
  <si>
    <t>enterprise value</t>
  </si>
  <si>
    <r>
      <t xml:space="preserve">DCF valuation model - GENTEX - </t>
    </r>
    <r>
      <rPr>
        <b/>
        <sz val="26"/>
        <color theme="8" tint="0.39997558519241921"/>
        <rFont val="Calibri"/>
        <family val="2"/>
        <scheme val="minor"/>
      </rPr>
      <t>by Michael (Minh) Thai</t>
    </r>
  </si>
  <si>
    <t>Scenario:</t>
  </si>
  <si>
    <t>Please choose the scenario from the "colored box"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</si>
</sst>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"/>
    <numFmt numFmtId="165" formatCode="0.0%"/>
    <numFmt numFmtId="166" formatCode="&quot;$&quot;#,##0.00"/>
    <numFmt numFmtId="167" formatCode="0.0%;\(0.0%\)"/>
    <numFmt numFmtId="168" formatCode="0\A"/>
    <numFmt numFmtId="169" formatCode="0&quot;E&quot;"/>
    <numFmt numFmtId="170" formatCode="0%;\(0%\)"/>
    <numFmt numFmtId="171" formatCode="0.0000"/>
  </numFmts>
  <fonts count="3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Arial"/>
    </font>
    <font>
      <sz val="10"/>
      <color theme="1"/>
      <name val="Calibri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333333"/>
      <name val="Arial"/>
    </font>
    <font>
      <sz val="10"/>
      <color rgb="FF000000"/>
      <name val="Arial"/>
    </font>
    <font>
      <i/>
      <sz val="10"/>
      <color rgb="FF000000"/>
      <name val="Arial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0"/>
      <color rgb="FF7030A0"/>
      <name val="Calibri"/>
      <family val="2"/>
      <scheme val="minor"/>
    </font>
    <font>
      <i/>
      <sz val="10"/>
      <color theme="9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sz val="10"/>
      <color rgb="FFFF0000"/>
      <name val="Arial"/>
      <family val="2"/>
    </font>
    <font>
      <sz val="10"/>
      <color theme="9" tint="-0.249977111117893"/>
      <name val="Arial"/>
      <family val="2"/>
    </font>
    <font>
      <b/>
      <sz val="26"/>
      <color theme="1"/>
      <name val="Calibri"/>
      <family val="2"/>
      <scheme val="minor"/>
    </font>
    <font>
      <b/>
      <sz val="26"/>
      <color theme="8" tint="0.3999755851924192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11">
    <xf numFmtId="0" fontId="0" fillId="0" borderId="0" xfId="0"/>
    <xf numFmtId="0" fontId="2" fillId="2" borderId="1" xfId="0" applyFont="1" applyFill="1" applyBorder="1"/>
    <xf numFmtId="0" fontId="3" fillId="2" borderId="2" xfId="0" applyFont="1" applyFill="1" applyBorder="1" applyAlignment="1">
      <alignment horizontal="left" vertical="center" readingOrder="1"/>
    </xf>
    <xf numFmtId="0" fontId="4" fillId="3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right"/>
    </xf>
    <xf numFmtId="0" fontId="6" fillId="3" borderId="5" xfId="0" applyFont="1" applyFill="1" applyBorder="1"/>
    <xf numFmtId="3" fontId="6" fillId="3" borderId="6" xfId="0" applyNumberFormat="1" applyFont="1" applyFill="1" applyBorder="1" applyAlignment="1">
      <alignment horizontal="right"/>
    </xf>
    <xf numFmtId="0" fontId="7" fillId="3" borderId="5" xfId="0" applyFont="1" applyFill="1" applyBorder="1"/>
    <xf numFmtId="3" fontId="8" fillId="3" borderId="6" xfId="0" applyNumberFormat="1" applyFont="1" applyFill="1" applyBorder="1" applyAlignment="1">
      <alignment horizontal="right"/>
    </xf>
    <xf numFmtId="164" fontId="8" fillId="3" borderId="6" xfId="0" applyNumberFormat="1" applyFont="1" applyFill="1" applyBorder="1" applyAlignment="1">
      <alignment horizontal="right"/>
    </xf>
    <xf numFmtId="164" fontId="6" fillId="3" borderId="6" xfId="0" applyNumberFormat="1" applyFont="1" applyFill="1" applyBorder="1" applyAlignment="1">
      <alignment horizontal="right"/>
    </xf>
    <xf numFmtId="4" fontId="8" fillId="3" borderId="6" xfId="0" applyNumberFormat="1" applyFont="1" applyFill="1" applyBorder="1" applyAlignment="1">
      <alignment horizontal="right"/>
    </xf>
    <xf numFmtId="0" fontId="9" fillId="4" borderId="7" xfId="0" applyFont="1" applyFill="1" applyBorder="1"/>
    <xf numFmtId="0" fontId="13" fillId="0" borderId="0" xfId="0" applyFont="1"/>
    <xf numFmtId="0" fontId="13" fillId="5" borderId="9" xfId="0" applyFont="1" applyFill="1" applyBorder="1" applyAlignment="1">
      <alignment horizontal="center"/>
    </xf>
    <xf numFmtId="166" fontId="13" fillId="0" borderId="9" xfId="0" applyNumberFormat="1" applyFont="1" applyBorder="1" applyAlignment="1">
      <alignment horizontal="center"/>
    </xf>
    <xf numFmtId="14" fontId="13" fillId="5" borderId="9" xfId="0" applyNumberFormat="1" applyFont="1" applyFill="1" applyBorder="1" applyAlignment="1">
      <alignment horizontal="center"/>
    </xf>
    <xf numFmtId="9" fontId="13" fillId="0" borderId="9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  <xf numFmtId="0" fontId="13" fillId="0" borderId="0" xfId="0" applyFont="1" applyAlignment="1">
      <alignment horizontal="center"/>
    </xf>
    <xf numFmtId="0" fontId="11" fillId="6" borderId="0" xfId="0" applyFont="1" applyFill="1"/>
    <xf numFmtId="0" fontId="14" fillId="6" borderId="0" xfId="0" applyFont="1" applyFill="1"/>
    <xf numFmtId="0" fontId="15" fillId="0" borderId="0" xfId="0" applyFont="1"/>
    <xf numFmtId="0" fontId="16" fillId="0" borderId="0" xfId="0" applyFont="1"/>
    <xf numFmtId="0" fontId="15" fillId="0" borderId="0" xfId="0" applyFont="1" applyAlignment="1">
      <alignment horizontal="center"/>
    </xf>
    <xf numFmtId="167" fontId="13" fillId="5" borderId="9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0" fontId="17" fillId="0" borderId="0" xfId="0" applyFont="1"/>
    <xf numFmtId="3" fontId="18" fillId="0" borderId="0" xfId="0" applyNumberFormat="1" applyFont="1"/>
    <xf numFmtId="3" fontId="19" fillId="0" borderId="0" xfId="0" applyNumberFormat="1" applyFont="1"/>
    <xf numFmtId="0" fontId="20" fillId="0" borderId="0" xfId="0" applyFont="1"/>
    <xf numFmtId="9" fontId="21" fillId="0" borderId="0" xfId="1" applyFont="1"/>
    <xf numFmtId="9" fontId="20" fillId="5" borderId="9" xfId="0" applyNumberFormat="1" applyFont="1" applyFill="1" applyBorder="1" applyAlignment="1">
      <alignment horizontal="right"/>
    </xf>
    <xf numFmtId="9" fontId="22" fillId="5" borderId="9" xfId="0" applyNumberFormat="1" applyFont="1" applyFill="1" applyBorder="1"/>
    <xf numFmtId="9" fontId="18" fillId="0" borderId="0" xfId="1" applyFont="1"/>
    <xf numFmtId="9" fontId="23" fillId="5" borderId="9" xfId="0" applyNumberFormat="1" applyFont="1" applyFill="1" applyBorder="1" applyAlignment="1">
      <alignment horizontal="right"/>
    </xf>
    <xf numFmtId="9" fontId="20" fillId="5" borderId="9" xfId="0" applyNumberFormat="1" applyFont="1" applyFill="1" applyBorder="1"/>
    <xf numFmtId="0" fontId="24" fillId="7" borderId="10" xfId="0" applyFont="1" applyFill="1" applyBorder="1"/>
    <xf numFmtId="0" fontId="12" fillId="7" borderId="11" xfId="0" applyFont="1" applyFill="1" applyBorder="1"/>
    <xf numFmtId="3" fontId="12" fillId="7" borderId="11" xfId="0" applyNumberFormat="1" applyFont="1" applyFill="1" applyBorder="1"/>
    <xf numFmtId="0" fontId="25" fillId="7" borderId="12" xfId="0" applyFont="1" applyFill="1" applyBorder="1"/>
    <xf numFmtId="0" fontId="12" fillId="7" borderId="8" xfId="0" applyFont="1" applyFill="1" applyBorder="1"/>
    <xf numFmtId="9" fontId="26" fillId="7" borderId="8" xfId="1" applyFont="1" applyFill="1" applyBorder="1"/>
    <xf numFmtId="9" fontId="27" fillId="0" borderId="0" xfId="1" applyFont="1"/>
    <xf numFmtId="9" fontId="22" fillId="5" borderId="9" xfId="0" applyNumberFormat="1" applyFont="1" applyFill="1" applyBorder="1" applyAlignment="1">
      <alignment horizontal="right"/>
    </xf>
    <xf numFmtId="165" fontId="0" fillId="0" borderId="0" xfId="0" applyNumberFormat="1"/>
    <xf numFmtId="0" fontId="25" fillId="0" borderId="0" xfId="0" applyFont="1"/>
    <xf numFmtId="0" fontId="12" fillId="0" borderId="0" xfId="0" applyFont="1"/>
    <xf numFmtId="9" fontId="26" fillId="0" borderId="1" xfId="1" applyFont="1" applyFill="1" applyBorder="1"/>
    <xf numFmtId="165" fontId="26" fillId="0" borderId="1" xfId="1" applyNumberFormat="1" applyFont="1" applyFill="1" applyBorder="1"/>
    <xf numFmtId="37" fontId="18" fillId="0" borderId="0" xfId="0" applyNumberFormat="1" applyFont="1"/>
    <xf numFmtId="170" fontId="27" fillId="0" borderId="1" xfId="1" applyNumberFormat="1" applyFont="1" applyFill="1" applyBorder="1"/>
    <xf numFmtId="10" fontId="0" fillId="0" borderId="0" xfId="0" applyNumberFormat="1"/>
    <xf numFmtId="3" fontId="0" fillId="0" borderId="0" xfId="0" applyNumberFormat="1"/>
    <xf numFmtId="37" fontId="19" fillId="0" borderId="0" xfId="0" applyNumberFormat="1" applyFont="1"/>
    <xf numFmtId="170" fontId="21" fillId="0" borderId="0" xfId="1" applyNumberFormat="1" applyFont="1"/>
    <xf numFmtId="3" fontId="28" fillId="0" borderId="0" xfId="0" applyNumberFormat="1" applyFont="1"/>
    <xf numFmtId="0" fontId="27" fillId="0" borderId="0" xfId="0" applyFont="1"/>
    <xf numFmtId="9" fontId="29" fillId="0" borderId="0" xfId="1" applyFont="1" applyAlignment="1">
      <alignment horizontal="right"/>
    </xf>
    <xf numFmtId="0" fontId="28" fillId="0" borderId="0" xfId="0" applyFont="1"/>
    <xf numFmtId="9" fontId="29" fillId="0" borderId="0" xfId="1" applyFont="1"/>
    <xf numFmtId="37" fontId="28" fillId="0" borderId="0" xfId="0" applyNumberFormat="1" applyFont="1"/>
    <xf numFmtId="170" fontId="29" fillId="0" borderId="0" xfId="1" applyNumberFormat="1" applyFont="1"/>
    <xf numFmtId="0" fontId="12" fillId="0" borderId="13" xfId="0" applyFont="1" applyBorder="1"/>
    <xf numFmtId="0" fontId="12" fillId="0" borderId="14" xfId="0" applyFont="1" applyBorder="1"/>
    <xf numFmtId="3" fontId="12" fillId="0" borderId="14" xfId="0" applyNumberFormat="1" applyFont="1" applyBorder="1"/>
    <xf numFmtId="0" fontId="12" fillId="0" borderId="10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8" xfId="0" applyFont="1" applyBorder="1"/>
    <xf numFmtId="2" fontId="0" fillId="0" borderId="0" xfId="0" applyNumberFormat="1"/>
    <xf numFmtId="37" fontId="0" fillId="0" borderId="0" xfId="0" applyNumberFormat="1"/>
    <xf numFmtId="166" fontId="0" fillId="0" borderId="0" xfId="0" applyNumberFormat="1"/>
    <xf numFmtId="0" fontId="11" fillId="8" borderId="0" xfId="0" applyFont="1" applyFill="1"/>
    <xf numFmtId="168" fontId="11" fillId="8" borderId="0" xfId="0" applyNumberFormat="1" applyFont="1" applyFill="1"/>
    <xf numFmtId="169" fontId="11" fillId="8" borderId="0" xfId="0" applyNumberFormat="1" applyFont="1" applyFill="1"/>
    <xf numFmtId="0" fontId="0" fillId="0" borderId="1" xfId="0" applyBorder="1"/>
    <xf numFmtId="10" fontId="18" fillId="0" borderId="0" xfId="0" applyNumberFormat="1" applyFont="1"/>
    <xf numFmtId="165" fontId="20" fillId="5" borderId="9" xfId="0" applyNumberFormat="1" applyFont="1" applyFill="1" applyBorder="1" applyAlignment="1">
      <alignment horizontal="right"/>
    </xf>
    <xf numFmtId="165" fontId="27" fillId="0" borderId="0" xfId="1" applyNumberFormat="1" applyFont="1"/>
    <xf numFmtId="165" fontId="23" fillId="5" borderId="9" xfId="0" applyNumberFormat="1" applyFont="1" applyFill="1" applyBorder="1" applyAlignment="1">
      <alignment horizontal="right"/>
    </xf>
    <xf numFmtId="0" fontId="1" fillId="0" borderId="0" xfId="0" quotePrefix="1" applyFont="1" applyAlignment="1">
      <alignment horizontal="right"/>
    </xf>
    <xf numFmtId="2" fontId="12" fillId="0" borderId="11" xfId="0" applyNumberFormat="1" applyFont="1" applyBorder="1"/>
    <xf numFmtId="2" fontId="12" fillId="0" borderId="8" xfId="0" applyNumberFormat="1" applyFont="1" applyBorder="1"/>
    <xf numFmtId="0" fontId="30" fillId="3" borderId="5" xfId="0" applyFont="1" applyFill="1" applyBorder="1"/>
    <xf numFmtId="164" fontId="30" fillId="3" borderId="6" xfId="0" applyNumberFormat="1" applyFont="1" applyFill="1" applyBorder="1" applyAlignment="1">
      <alignment horizontal="right"/>
    </xf>
    <xf numFmtId="0" fontId="1" fillId="0" borderId="0" xfId="0" applyFont="1"/>
    <xf numFmtId="0" fontId="31" fillId="3" borderId="5" xfId="0" applyFont="1" applyFill="1" applyBorder="1"/>
    <xf numFmtId="171" fontId="1" fillId="0" borderId="0" xfId="0" applyNumberFormat="1" applyFont="1"/>
    <xf numFmtId="171" fontId="0" fillId="0" borderId="0" xfId="0" applyNumberFormat="1"/>
    <xf numFmtId="3" fontId="12" fillId="7" borderId="16" xfId="0" applyNumberFormat="1" applyFont="1" applyFill="1" applyBorder="1"/>
    <xf numFmtId="9" fontId="26" fillId="7" borderId="17" xfId="1" applyFont="1" applyFill="1" applyBorder="1"/>
    <xf numFmtId="0" fontId="13" fillId="0" borderId="1" xfId="0" applyFont="1" applyBorder="1"/>
    <xf numFmtId="2" fontId="12" fillId="0" borderId="16" xfId="0" applyNumberFormat="1" applyFont="1" applyBorder="1"/>
    <xf numFmtId="2" fontId="12" fillId="0" borderId="17" xfId="0" applyNumberFormat="1" applyFont="1" applyBorder="1"/>
    <xf numFmtId="3" fontId="12" fillId="0" borderId="15" xfId="0" applyNumberFormat="1" applyFont="1" applyBorder="1"/>
    <xf numFmtId="0" fontId="0" fillId="5" borderId="8" xfId="0" applyFill="1" applyBorder="1"/>
    <xf numFmtId="0" fontId="32" fillId="5" borderId="8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36" fillId="9" borderId="10" xfId="0" applyFont="1" applyFill="1" applyBorder="1" applyAlignment="1">
      <alignment horizontal="center"/>
    </xf>
    <xf numFmtId="0" fontId="12" fillId="9" borderId="11" xfId="0" applyFont="1" applyFill="1" applyBorder="1" applyAlignment="1">
      <alignment horizontal="center"/>
    </xf>
    <xf numFmtId="0" fontId="24" fillId="9" borderId="11" xfId="0" applyFont="1" applyFill="1" applyBorder="1" applyAlignment="1">
      <alignment horizontal="center"/>
    </xf>
    <xf numFmtId="0" fontId="24" fillId="9" borderId="16" xfId="0" applyFont="1" applyFill="1" applyBorder="1" applyAlignment="1">
      <alignment horizontal="center"/>
    </xf>
    <xf numFmtId="0" fontId="34" fillId="9" borderId="12" xfId="0" applyFont="1" applyFill="1" applyBorder="1"/>
    <xf numFmtId="0" fontId="13" fillId="9" borderId="17" xfId="0" applyFont="1" applyFill="1" applyBorder="1"/>
    <xf numFmtId="0" fontId="34" fillId="10" borderId="8" xfId="0" applyFont="1" applyFill="1" applyBorder="1"/>
    <xf numFmtId="0" fontId="35" fillId="9" borderId="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F4A8-5837-4AF4-865B-CC6641FD5399}">
  <dimension ref="A1:W127"/>
  <sheetViews>
    <sheetView showGridLines="0" tabSelected="1" zoomScale="106" zoomScaleNormal="145" workbookViewId="0">
      <selection activeCell="Q31" sqref="Q31"/>
    </sheetView>
  </sheetViews>
  <sheetFormatPr defaultRowHeight="14.25" x14ac:dyDescent="0.45"/>
  <cols>
    <col min="3" max="3" width="9.53125" bestFit="1" customWidth="1"/>
    <col min="10" max="10" width="17.73046875" customWidth="1"/>
    <col min="11" max="11" width="15.3984375" customWidth="1"/>
    <col min="14" max="14" width="9.796875" bestFit="1" customWidth="1"/>
  </cols>
  <sheetData>
    <row r="1" spans="1:23" ht="33.4" x14ac:dyDescent="1">
      <c r="A1" s="100"/>
      <c r="B1" s="101" t="s">
        <v>533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</row>
    <row r="3" spans="1:23" ht="18" x14ac:dyDescent="0.55000000000000004">
      <c r="A3" s="16"/>
      <c r="B3" s="16" t="s">
        <v>476</v>
      </c>
      <c r="C3" s="17" t="s">
        <v>530</v>
      </c>
      <c r="D3" s="16"/>
      <c r="E3" s="16" t="s">
        <v>477</v>
      </c>
      <c r="F3" s="16"/>
      <c r="G3" s="16"/>
      <c r="H3" s="18">
        <f ca="1">N119</f>
        <v>3.528660956645711</v>
      </c>
      <c r="I3" s="16"/>
      <c r="J3" s="103"/>
      <c r="K3" s="104" t="s">
        <v>535</v>
      </c>
      <c r="L3" s="105"/>
      <c r="M3" s="106"/>
      <c r="N3" s="102"/>
      <c r="O3" s="102"/>
      <c r="P3" s="16"/>
      <c r="Q3" s="16"/>
      <c r="R3" s="16"/>
      <c r="S3" s="16"/>
      <c r="T3" s="16"/>
    </row>
    <row r="4" spans="1:23" ht="21" x14ac:dyDescent="0.65">
      <c r="A4" s="16"/>
      <c r="B4" s="16" t="s">
        <v>478</v>
      </c>
      <c r="C4" s="19">
        <v>45799</v>
      </c>
      <c r="D4" s="16"/>
      <c r="E4" s="16" t="s">
        <v>479</v>
      </c>
      <c r="F4" s="16"/>
      <c r="G4" s="16"/>
      <c r="H4" s="18">
        <v>23.4</v>
      </c>
      <c r="I4" s="16"/>
      <c r="J4" s="107" t="s">
        <v>534</v>
      </c>
      <c r="K4" s="109" t="s">
        <v>485</v>
      </c>
      <c r="L4" s="110" cm="1">
        <f t="array" ref="L4">_xlfn.IFS(K4="Conservative", 1, K4="Bear", 2, K4="Optimistic", 3, TRUE, 1)</f>
        <v>1</v>
      </c>
      <c r="M4" s="108"/>
      <c r="N4" s="16"/>
      <c r="O4" s="16"/>
      <c r="P4" s="16"/>
      <c r="Q4" s="16"/>
      <c r="R4" s="16"/>
      <c r="S4" s="16"/>
      <c r="T4" s="16"/>
    </row>
    <row r="5" spans="1:23" x14ac:dyDescent="0.45">
      <c r="A5" s="16"/>
      <c r="B5" s="16" t="s">
        <v>480</v>
      </c>
      <c r="C5" s="19">
        <v>46022</v>
      </c>
      <c r="D5" s="16"/>
      <c r="E5" s="16" t="s">
        <v>481</v>
      </c>
      <c r="F5" s="16"/>
      <c r="G5" s="16"/>
      <c r="H5" s="20">
        <f ca="1">H3/H4-1</f>
        <v>-0.84920252322026879</v>
      </c>
      <c r="I5" s="16"/>
      <c r="J5" s="16"/>
      <c r="L5" s="16"/>
      <c r="M5" s="16"/>
      <c r="N5" s="16"/>
      <c r="O5" s="16"/>
      <c r="P5" s="16"/>
      <c r="Q5" s="16"/>
      <c r="R5" s="16"/>
      <c r="S5" s="16"/>
      <c r="T5" s="16"/>
    </row>
    <row r="6" spans="1:23" x14ac:dyDescent="0.4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</row>
    <row r="7" spans="1:23" x14ac:dyDescent="0.45">
      <c r="A7" s="21" t="s">
        <v>482</v>
      </c>
      <c r="B7" s="77" t="s">
        <v>483</v>
      </c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</row>
    <row r="8" spans="1:23" x14ac:dyDescent="0.45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16"/>
      <c r="S8" s="16"/>
      <c r="T8" s="16"/>
    </row>
    <row r="9" spans="1:23" x14ac:dyDescent="0.45">
      <c r="A9" s="23"/>
      <c r="B9" s="24" t="s">
        <v>484</v>
      </c>
      <c r="C9" s="25"/>
      <c r="D9" s="25"/>
      <c r="E9" s="25"/>
      <c r="F9" s="16"/>
      <c r="G9" s="24" t="s">
        <v>485</v>
      </c>
      <c r="H9" s="25"/>
      <c r="I9" s="25"/>
      <c r="J9" s="25"/>
      <c r="K9" s="25"/>
      <c r="L9" s="16"/>
      <c r="M9" s="24" t="s">
        <v>486</v>
      </c>
      <c r="N9" s="25"/>
      <c r="O9" s="25"/>
      <c r="P9" s="25"/>
      <c r="Q9" s="25"/>
      <c r="R9" s="16"/>
      <c r="S9" s="24" t="s">
        <v>487</v>
      </c>
      <c r="T9" s="25"/>
      <c r="U9" s="25"/>
      <c r="V9" s="25"/>
      <c r="W9" s="25"/>
    </row>
    <row r="10" spans="1:23" x14ac:dyDescent="0.45">
      <c r="A10" s="23"/>
      <c r="B10" s="26" t="s">
        <v>474</v>
      </c>
      <c r="C10" s="16"/>
      <c r="D10" s="16"/>
      <c r="E10" s="16"/>
      <c r="F10" s="16"/>
      <c r="G10" s="26" t="s">
        <v>474</v>
      </c>
      <c r="H10" s="27"/>
      <c r="I10" s="27"/>
      <c r="J10" s="28" t="s">
        <v>488</v>
      </c>
      <c r="K10" s="28" t="s">
        <v>489</v>
      </c>
      <c r="L10" s="16"/>
      <c r="M10" s="26" t="s">
        <v>474</v>
      </c>
      <c r="N10" s="27"/>
      <c r="O10" s="27"/>
      <c r="P10" s="28" t="s">
        <v>488</v>
      </c>
      <c r="Q10" s="28" t="s">
        <v>489</v>
      </c>
      <c r="R10" s="16"/>
      <c r="S10" s="26" t="s">
        <v>474</v>
      </c>
      <c r="T10" s="27"/>
      <c r="U10" s="27"/>
      <c r="V10" s="28" t="s">
        <v>488</v>
      </c>
      <c r="W10" s="28" t="s">
        <v>489</v>
      </c>
    </row>
    <row r="11" spans="1:23" x14ac:dyDescent="0.45">
      <c r="A11" s="23"/>
      <c r="F11" s="16"/>
      <c r="G11" s="16"/>
      <c r="H11" s="16"/>
      <c r="I11" s="16"/>
      <c r="J11" s="23"/>
      <c r="K11" s="16"/>
      <c r="L11" s="16"/>
      <c r="M11" s="16"/>
      <c r="N11" s="16"/>
      <c r="O11" s="16"/>
      <c r="P11" s="23"/>
      <c r="Q11" s="16"/>
      <c r="R11" s="16"/>
      <c r="S11" s="16"/>
      <c r="T11" s="16"/>
      <c r="U11" s="16"/>
      <c r="V11" s="23"/>
      <c r="W11" s="16"/>
    </row>
    <row r="12" spans="1:23" x14ac:dyDescent="0.45">
      <c r="A12" s="23"/>
      <c r="B12" s="16" t="s">
        <v>490</v>
      </c>
      <c r="C12" s="16"/>
      <c r="D12" s="16"/>
      <c r="E12" s="17">
        <f>$L$4</f>
        <v>1</v>
      </c>
      <c r="F12" s="16"/>
      <c r="G12" s="16" t="s">
        <v>474</v>
      </c>
      <c r="H12" s="16"/>
      <c r="I12" s="16"/>
      <c r="J12" s="23">
        <v>2026</v>
      </c>
      <c r="K12" s="30">
        <v>-7.2999999999999995E-2</v>
      </c>
      <c r="L12" s="16"/>
      <c r="M12" s="16" t="s">
        <v>474</v>
      </c>
      <c r="N12" s="16"/>
      <c r="O12" s="16"/>
      <c r="P12" s="23">
        <v>2026</v>
      </c>
      <c r="Q12" s="30">
        <v>4.5999999999999999E-2</v>
      </c>
      <c r="R12" s="16"/>
      <c r="S12" s="16" t="s">
        <v>474</v>
      </c>
      <c r="T12" s="16"/>
      <c r="U12" s="16"/>
      <c r="V12" s="23">
        <v>2026</v>
      </c>
      <c r="W12" s="30">
        <v>6.5000000000000002E-2</v>
      </c>
    </row>
    <row r="13" spans="1:23" x14ac:dyDescent="0.45">
      <c r="A13" s="23"/>
      <c r="F13" s="16"/>
      <c r="G13" s="16" t="s">
        <v>474</v>
      </c>
      <c r="H13" s="16"/>
      <c r="I13" s="16"/>
      <c r="J13" s="23">
        <v>2030</v>
      </c>
      <c r="K13" s="29">
        <v>0.02</v>
      </c>
      <c r="L13" s="16"/>
      <c r="M13" s="16" t="s">
        <v>474</v>
      </c>
      <c r="N13" s="16"/>
      <c r="O13" s="16"/>
      <c r="P13" s="23">
        <v>2030</v>
      </c>
      <c r="Q13" s="29">
        <v>3.5000000000000003E-2</v>
      </c>
      <c r="R13" s="16"/>
      <c r="S13" s="16" t="s">
        <v>474</v>
      </c>
      <c r="T13" s="16"/>
      <c r="U13" s="16"/>
      <c r="V13" s="23">
        <v>2030</v>
      </c>
      <c r="W13" s="29">
        <v>6.5000000000000002E-2</v>
      </c>
    </row>
    <row r="14" spans="1:23" x14ac:dyDescent="0.45">
      <c r="A14" s="23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x14ac:dyDescent="0.45">
      <c r="A15" s="23"/>
      <c r="B15" s="31" t="s">
        <v>491</v>
      </c>
      <c r="C15" s="16"/>
      <c r="D15" s="16"/>
      <c r="E15" s="16"/>
      <c r="F15" s="16"/>
      <c r="G15" s="31" t="s">
        <v>491</v>
      </c>
      <c r="H15" s="16"/>
      <c r="I15" s="16"/>
      <c r="J15" s="28" t="s">
        <v>488</v>
      </c>
      <c r="K15" s="28" t="s">
        <v>489</v>
      </c>
      <c r="L15" s="16"/>
      <c r="M15" s="31" t="s">
        <v>491</v>
      </c>
      <c r="N15" s="16"/>
      <c r="O15" s="16"/>
      <c r="P15" s="28" t="s">
        <v>488</v>
      </c>
      <c r="Q15" s="28" t="s">
        <v>489</v>
      </c>
      <c r="R15" s="16"/>
      <c r="S15" s="31" t="s">
        <v>491</v>
      </c>
      <c r="T15" s="16"/>
      <c r="U15" s="16"/>
      <c r="V15" s="28" t="s">
        <v>488</v>
      </c>
      <c r="W15" s="28" t="s">
        <v>489</v>
      </c>
    </row>
    <row r="16" spans="1:23" x14ac:dyDescent="0.45">
      <c r="A16" s="23"/>
      <c r="B16" s="16" t="s">
        <v>526</v>
      </c>
      <c r="C16" s="16"/>
      <c r="D16" s="16"/>
      <c r="E16" s="17">
        <f>$L$4</f>
        <v>1</v>
      </c>
      <c r="F16" s="16"/>
      <c r="G16" s="16" t="s">
        <v>526</v>
      </c>
      <c r="H16" s="16"/>
      <c r="I16" s="16"/>
      <c r="J16" s="23">
        <v>2026</v>
      </c>
      <c r="K16" s="29">
        <v>0.68500000000000005</v>
      </c>
      <c r="L16" s="16"/>
      <c r="M16" s="16" t="s">
        <v>526</v>
      </c>
      <c r="N16" s="16"/>
      <c r="O16" s="16"/>
      <c r="P16" s="23">
        <v>2026</v>
      </c>
      <c r="Q16" s="29">
        <v>0.65500000000000003</v>
      </c>
      <c r="R16" s="16"/>
      <c r="S16" s="16" t="s">
        <v>526</v>
      </c>
      <c r="T16" s="16"/>
      <c r="U16" s="16"/>
      <c r="V16" s="23">
        <v>2026</v>
      </c>
      <c r="W16" s="29">
        <v>0.65</v>
      </c>
    </row>
    <row r="17" spans="1:23" x14ac:dyDescent="0.45">
      <c r="A17" s="23"/>
      <c r="B17" s="16" t="s">
        <v>527</v>
      </c>
      <c r="C17" s="16"/>
      <c r="D17" s="16"/>
      <c r="E17" s="17">
        <f>$L$4</f>
        <v>1</v>
      </c>
      <c r="F17" s="16"/>
      <c r="G17" s="16" t="s">
        <v>526</v>
      </c>
      <c r="H17" s="16"/>
      <c r="I17" s="16"/>
      <c r="J17" s="23">
        <v>2030</v>
      </c>
      <c r="K17" s="29">
        <v>0.68</v>
      </c>
      <c r="L17" s="16"/>
      <c r="M17" s="16" t="s">
        <v>526</v>
      </c>
      <c r="N17" s="16"/>
      <c r="O17" s="16"/>
      <c r="P17" s="23">
        <v>2030</v>
      </c>
      <c r="Q17" s="29">
        <v>0.64500000000000002</v>
      </c>
      <c r="R17" s="16"/>
      <c r="S17" s="16" t="s">
        <v>526</v>
      </c>
      <c r="T17" s="16"/>
      <c r="U17" s="16"/>
      <c r="V17" s="23">
        <v>2030</v>
      </c>
      <c r="W17" s="29">
        <v>0.64</v>
      </c>
    </row>
    <row r="18" spans="1:23" x14ac:dyDescent="0.45">
      <c r="A18" s="23"/>
      <c r="B18" s="16" t="s">
        <v>528</v>
      </c>
      <c r="C18" s="16"/>
      <c r="D18" s="16"/>
      <c r="E18" s="17">
        <f>$L$4</f>
        <v>1</v>
      </c>
      <c r="F18" s="16"/>
      <c r="G18" s="16" t="s">
        <v>527</v>
      </c>
      <c r="H18" s="16"/>
      <c r="I18" s="16"/>
      <c r="J18" s="23">
        <v>2026</v>
      </c>
      <c r="K18" s="29">
        <v>8.5999999999999993E-2</v>
      </c>
      <c r="L18" s="16"/>
      <c r="M18" s="16" t="s">
        <v>527</v>
      </c>
      <c r="N18" s="16"/>
      <c r="O18" s="16"/>
      <c r="P18" s="23">
        <v>2026</v>
      </c>
      <c r="Q18" s="29">
        <v>0.08</v>
      </c>
      <c r="R18" s="16"/>
      <c r="S18" s="16" t="s">
        <v>527</v>
      </c>
      <c r="T18" s="16"/>
      <c r="U18" s="16"/>
      <c r="V18" s="23">
        <v>2026</v>
      </c>
      <c r="W18" s="29">
        <v>7.8E-2</v>
      </c>
    </row>
    <row r="19" spans="1:23" x14ac:dyDescent="0.45">
      <c r="A19" s="23"/>
      <c r="F19" s="16"/>
      <c r="G19" s="16" t="s">
        <v>527</v>
      </c>
      <c r="H19" s="16"/>
      <c r="I19" s="16"/>
      <c r="J19" s="23">
        <v>2030</v>
      </c>
      <c r="K19" s="29">
        <v>0.09</v>
      </c>
      <c r="L19" s="16"/>
      <c r="M19" s="16" t="s">
        <v>527</v>
      </c>
      <c r="N19" s="16"/>
      <c r="O19" s="16"/>
      <c r="P19" s="23">
        <v>2030</v>
      </c>
      <c r="Q19" s="29">
        <v>0.08</v>
      </c>
      <c r="R19" s="16"/>
      <c r="S19" s="16" t="s">
        <v>527</v>
      </c>
      <c r="T19" s="16"/>
      <c r="U19" s="16"/>
      <c r="V19" s="23">
        <v>2030</v>
      </c>
      <c r="W19" s="29">
        <v>7.4999999999999997E-2</v>
      </c>
    </row>
    <row r="20" spans="1:23" x14ac:dyDescent="0.45">
      <c r="A20" s="23"/>
      <c r="F20" s="16"/>
      <c r="G20" s="16" t="s">
        <v>528</v>
      </c>
      <c r="H20" s="16"/>
      <c r="I20" s="16"/>
      <c r="J20" s="23">
        <v>2026</v>
      </c>
      <c r="K20" s="29">
        <v>8.4000000000000005E-2</v>
      </c>
      <c r="L20" s="16"/>
      <c r="M20" s="16" t="s">
        <v>528</v>
      </c>
      <c r="N20" s="16"/>
      <c r="O20" s="16"/>
      <c r="P20" s="23">
        <v>2026</v>
      </c>
      <c r="Q20" s="29">
        <v>7.5999999999999998E-2</v>
      </c>
      <c r="S20" s="16" t="s">
        <v>528</v>
      </c>
      <c r="T20" s="16"/>
      <c r="U20" s="16"/>
      <c r="V20" s="23">
        <v>2026</v>
      </c>
      <c r="W20" s="29">
        <v>7.3999999999999996E-2</v>
      </c>
    </row>
    <row r="21" spans="1:23" x14ac:dyDescent="0.45">
      <c r="A21" s="23"/>
      <c r="F21" s="16"/>
      <c r="G21" s="16" t="s">
        <v>528</v>
      </c>
      <c r="H21" s="16"/>
      <c r="I21" s="16"/>
      <c r="J21" s="23">
        <v>2030</v>
      </c>
      <c r="K21" s="29">
        <v>7.4999999999999997E-2</v>
      </c>
      <c r="L21" s="16"/>
      <c r="M21" s="16" t="s">
        <v>528</v>
      </c>
      <c r="N21" s="16"/>
      <c r="O21" s="16"/>
      <c r="P21" s="23">
        <v>2030</v>
      </c>
      <c r="Q21" s="29">
        <v>6.5000000000000002E-2</v>
      </c>
      <c r="S21" s="16" t="s">
        <v>528</v>
      </c>
      <c r="T21" s="16"/>
      <c r="U21" s="16"/>
      <c r="V21" s="23">
        <v>2030</v>
      </c>
      <c r="W21" s="29">
        <v>5.5E-2</v>
      </c>
    </row>
    <row r="22" spans="1:23" x14ac:dyDescent="0.45">
      <c r="A22" s="23"/>
      <c r="F22" s="16"/>
      <c r="L22" s="16"/>
    </row>
    <row r="23" spans="1:23" x14ac:dyDescent="0.45">
      <c r="A23" s="23"/>
      <c r="B23" s="31" t="s">
        <v>492</v>
      </c>
      <c r="C23" s="16"/>
      <c r="D23" s="16"/>
      <c r="E23" s="16"/>
      <c r="F23" s="16"/>
      <c r="G23" s="31" t="s">
        <v>492</v>
      </c>
      <c r="H23" s="16"/>
      <c r="I23" s="16"/>
      <c r="J23" s="28"/>
      <c r="K23" s="28" t="s">
        <v>489</v>
      </c>
      <c r="L23" s="16"/>
      <c r="M23" s="31" t="s">
        <v>492</v>
      </c>
      <c r="N23" s="16"/>
      <c r="O23" s="16"/>
      <c r="P23" s="28"/>
      <c r="Q23" s="28" t="s">
        <v>489</v>
      </c>
      <c r="R23" s="16"/>
      <c r="S23" s="31" t="s">
        <v>492</v>
      </c>
      <c r="T23" s="16"/>
      <c r="U23" s="16"/>
      <c r="V23" s="28"/>
      <c r="W23" s="28" t="s">
        <v>489</v>
      </c>
    </row>
    <row r="24" spans="1:23" x14ac:dyDescent="0.45">
      <c r="A24" s="23"/>
      <c r="B24" s="16" t="s">
        <v>493</v>
      </c>
      <c r="C24" s="16"/>
      <c r="D24" s="16"/>
      <c r="E24" s="17">
        <f>$L$4</f>
        <v>1</v>
      </c>
      <c r="F24" s="16"/>
      <c r="G24" s="16" t="s">
        <v>493</v>
      </c>
      <c r="H24" s="16"/>
      <c r="I24" s="16"/>
      <c r="J24" s="23"/>
      <c r="K24" s="29">
        <v>0.105</v>
      </c>
      <c r="L24" s="16"/>
      <c r="M24" s="16" t="s">
        <v>493</v>
      </c>
      <c r="N24" s="16"/>
      <c r="O24" s="16"/>
      <c r="P24" s="23"/>
      <c r="Q24" s="29">
        <v>9.5000000000000001E-2</v>
      </c>
      <c r="R24" s="16"/>
      <c r="S24" s="16" t="s">
        <v>493</v>
      </c>
      <c r="T24" s="16"/>
      <c r="U24" s="16"/>
      <c r="V24" s="23"/>
      <c r="W24" s="29">
        <v>8.5000000000000006E-2</v>
      </c>
    </row>
    <row r="25" spans="1:23" x14ac:dyDescent="0.45">
      <c r="A25" s="23"/>
      <c r="B25" s="16" t="s">
        <v>494</v>
      </c>
      <c r="C25" s="16"/>
      <c r="D25" s="16"/>
      <c r="E25" s="17">
        <f>$L$4</f>
        <v>1</v>
      </c>
      <c r="F25" s="16"/>
      <c r="G25" s="16" t="s">
        <v>494</v>
      </c>
      <c r="H25" s="16"/>
      <c r="I25" s="16"/>
      <c r="J25" s="23"/>
      <c r="K25" s="29">
        <v>0.02</v>
      </c>
      <c r="L25" s="16"/>
      <c r="M25" s="16" t="s">
        <v>494</v>
      </c>
      <c r="N25" s="16"/>
      <c r="O25" s="16"/>
      <c r="P25" s="23"/>
      <c r="Q25" s="29">
        <v>0.03</v>
      </c>
      <c r="R25" s="16"/>
      <c r="S25" s="16" t="s">
        <v>494</v>
      </c>
      <c r="T25" s="16"/>
      <c r="U25" s="16"/>
      <c r="V25" s="23"/>
      <c r="W25" s="29">
        <v>0.04</v>
      </c>
    </row>
    <row r="26" spans="1:23" x14ac:dyDescent="0.45">
      <c r="A26" s="23"/>
      <c r="F26" s="16"/>
    </row>
    <row r="27" spans="1:23" x14ac:dyDescent="0.45">
      <c r="A27" s="23"/>
      <c r="B27" s="24" t="s">
        <v>495</v>
      </c>
      <c r="C27" s="25"/>
      <c r="D27" s="25"/>
      <c r="E27" s="25"/>
    </row>
    <row r="28" spans="1:23" x14ac:dyDescent="0.45">
      <c r="A28" s="23"/>
      <c r="B28" s="16" t="s">
        <v>496</v>
      </c>
      <c r="C28" s="16"/>
      <c r="D28" s="16"/>
      <c r="E28" s="29">
        <v>0.21</v>
      </c>
    </row>
    <row r="29" spans="1:23" x14ac:dyDescent="0.45">
      <c r="A29" s="23"/>
      <c r="B29" s="16" t="s">
        <v>497</v>
      </c>
      <c r="C29" s="16"/>
      <c r="D29" s="16"/>
      <c r="E29" s="29">
        <f>AVERAGE(G76:I76)</f>
        <v>4.0861849039877628E-2</v>
      </c>
    </row>
    <row r="30" spans="1:23" x14ac:dyDescent="0.45">
      <c r="A30" s="23"/>
      <c r="B30" s="16" t="s">
        <v>498</v>
      </c>
      <c r="C30" s="16"/>
      <c r="D30" s="16"/>
      <c r="E30" s="29">
        <f>AVERAGE(G79:I79)</f>
        <v>6.4454107183839884E-2</v>
      </c>
    </row>
    <row r="31" spans="1:23" x14ac:dyDescent="0.45">
      <c r="A31" s="23"/>
      <c r="B31" s="16" t="s">
        <v>499</v>
      </c>
      <c r="C31" s="16"/>
      <c r="D31" s="16"/>
      <c r="E31" s="29">
        <f>AVERAGE(F82:I82)</f>
        <v>1.2186712775248482E-2</v>
      </c>
    </row>
    <row r="32" spans="1:23" x14ac:dyDescent="0.45">
      <c r="A32" s="23"/>
      <c r="B32" s="16" t="s">
        <v>493</v>
      </c>
      <c r="C32" s="16"/>
      <c r="D32" s="16"/>
      <c r="E32" s="29">
        <f>CHOOSE(E24,K24,Q24,W24)</f>
        <v>0.105</v>
      </c>
    </row>
    <row r="33" spans="1:20" x14ac:dyDescent="0.45">
      <c r="A33" s="23"/>
      <c r="B33" s="16" t="s">
        <v>494</v>
      </c>
      <c r="C33" s="16"/>
      <c r="D33" s="16"/>
      <c r="E33" s="29">
        <f>CHOOSE(E25,K25,Q25,W25)</f>
        <v>0.02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23"/>
      <c r="Q33" s="16"/>
      <c r="R33" s="16"/>
      <c r="S33" s="16"/>
      <c r="T33" s="16"/>
    </row>
    <row r="34" spans="1:20" x14ac:dyDescent="0.45">
      <c r="A34" s="2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23"/>
      <c r="Q34" s="16"/>
      <c r="R34" s="16"/>
      <c r="S34" s="16"/>
      <c r="T34" s="16"/>
    </row>
    <row r="35" spans="1:20" x14ac:dyDescent="0.45">
      <c r="A35" s="21" t="s">
        <v>482</v>
      </c>
      <c r="B35" s="77" t="s">
        <v>500</v>
      </c>
      <c r="C35" s="77"/>
      <c r="D35" s="77"/>
      <c r="E35" s="78">
        <v>2021</v>
      </c>
      <c r="F35" s="78">
        <f>E35+1</f>
        <v>2022</v>
      </c>
      <c r="G35" s="78">
        <f>F35+1</f>
        <v>2023</v>
      </c>
      <c r="H35" s="78">
        <f t="shared" ref="H35:N35" si="0">G35+1</f>
        <v>2024</v>
      </c>
      <c r="I35" s="78">
        <f t="shared" si="0"/>
        <v>2025</v>
      </c>
      <c r="J35" s="79">
        <f>I35+1</f>
        <v>2026</v>
      </c>
      <c r="K35" s="79">
        <f t="shared" si="0"/>
        <v>2027</v>
      </c>
      <c r="L35" s="79">
        <f t="shared" si="0"/>
        <v>2028</v>
      </c>
      <c r="M35" s="79">
        <f>L35+1</f>
        <v>2029</v>
      </c>
      <c r="N35" s="79">
        <f t="shared" si="0"/>
        <v>2030</v>
      </c>
      <c r="O35" s="16"/>
      <c r="P35" s="16"/>
      <c r="Q35" s="16"/>
      <c r="R35" s="16"/>
      <c r="S35" s="16"/>
    </row>
    <row r="36" spans="1:20" x14ac:dyDescent="0.45">
      <c r="B36" s="16" t="s">
        <v>474</v>
      </c>
      <c r="E36" s="32">
        <f>'Income - As Reported'!C9</f>
        <v>1731.1699000000001</v>
      </c>
      <c r="F36" s="32">
        <f>'Income - As Reported'!D9</f>
        <v>1918.9580000000001</v>
      </c>
      <c r="G36" s="32">
        <f>'Income - As Reported'!E9</f>
        <v>2299.2150000000001</v>
      </c>
      <c r="H36" s="32">
        <f>'Income - As Reported'!F9</f>
        <v>2313.3143</v>
      </c>
      <c r="I36" s="32">
        <f>'Income - As Reported'!G9</f>
        <v>2534.2689999999998</v>
      </c>
      <c r="J36" s="33">
        <f ca="1">I36*(1+J37)</f>
        <v>2642.3352986979999</v>
      </c>
      <c r="K36" s="33">
        <f t="shared" ref="K36:N36" ca="1" si="1">J36*(1+K37)</f>
        <v>2747.7433384336605</v>
      </c>
      <c r="L36" s="33">
        <f t="shared" ca="1" si="1"/>
        <v>2849.8000215097636</v>
      </c>
      <c r="M36" s="33">
        <f t="shared" ca="1" si="1"/>
        <v>2947.8103438495273</v>
      </c>
      <c r="N36" s="33">
        <f t="shared" ca="1" si="1"/>
        <v>3006.7665507265178</v>
      </c>
      <c r="O36" s="16"/>
    </row>
    <row r="37" spans="1:20" x14ac:dyDescent="0.45">
      <c r="B37" s="34" t="s">
        <v>501</v>
      </c>
      <c r="E37" s="85" t="s">
        <v>529</v>
      </c>
      <c r="F37" s="35">
        <f>F36/E36-1</f>
        <v>0.10847467946387002</v>
      </c>
      <c r="G37" s="35">
        <f t="shared" ref="G37:I37" si="2">G36/F36-1</f>
        <v>0.19815806286536763</v>
      </c>
      <c r="H37" s="35">
        <f t="shared" si="2"/>
        <v>6.1322233892870948E-3</v>
      </c>
      <c r="I37" s="35">
        <f t="shared" si="2"/>
        <v>9.551434493790989E-2</v>
      </c>
      <c r="J37" s="35">
        <f ca="1">OFFSET(J37,$E$12,0)</f>
        <v>4.2641999999999999E-2</v>
      </c>
      <c r="K37" s="35">
        <f ca="1">OFFSET(K37,$E$12,0)</f>
        <v>3.9891999999999997E-2</v>
      </c>
      <c r="L37" s="35">
        <f ca="1">OFFSET(L37,$E$12,0)</f>
        <v>3.7141999999999994E-2</v>
      </c>
      <c r="M37" s="35">
        <f ca="1">OFFSET(M37,$E$12,0)</f>
        <v>3.4391999999999992E-2</v>
      </c>
      <c r="N37" s="35">
        <f ca="1">OFFSET(N37,$E$12,0)</f>
        <v>0.02</v>
      </c>
      <c r="O37" s="16"/>
    </row>
    <row r="38" spans="1:20" x14ac:dyDescent="0.45">
      <c r="B38" s="34" t="s">
        <v>502</v>
      </c>
      <c r="F38" s="32"/>
      <c r="G38" s="32"/>
      <c r="H38" s="32"/>
      <c r="I38" s="81"/>
      <c r="J38" s="82">
        <f>J39*(1+K12)</f>
        <v>4.2641999999999999E-2</v>
      </c>
      <c r="K38" s="40">
        <f t="shared" ref="K38:M38" si="3">J38-(($J$39-$N$39)/($N$35-$J$35))</f>
        <v>3.9891999999999997E-2</v>
      </c>
      <c r="L38" s="40">
        <f t="shared" si="3"/>
        <v>3.7141999999999994E-2</v>
      </c>
      <c r="M38" s="40">
        <f t="shared" si="3"/>
        <v>3.4391999999999992E-2</v>
      </c>
      <c r="N38" s="36">
        <f>K13</f>
        <v>0.02</v>
      </c>
      <c r="O38" s="16"/>
    </row>
    <row r="39" spans="1:20" x14ac:dyDescent="0.45">
      <c r="B39" s="34" t="s">
        <v>503</v>
      </c>
      <c r="F39" s="32"/>
      <c r="G39" s="32"/>
      <c r="H39" s="32"/>
      <c r="I39" s="32"/>
      <c r="J39" s="39">
        <f>Q12</f>
        <v>4.5999999999999999E-2</v>
      </c>
      <c r="K39" s="40">
        <f>J39-(($J$39-$N$39)/($N$35-$J$35))</f>
        <v>4.3249999999999997E-2</v>
      </c>
      <c r="L39" s="40">
        <f>K39-(($J$39-$N$39)/($N$35-$J$35))</f>
        <v>4.0499999999999994E-2</v>
      </c>
      <c r="M39" s="40">
        <f t="shared" ref="M39:M40" si="4">L39-(($J$39-$N$39)/($N$35-$J$35))</f>
        <v>3.7749999999999992E-2</v>
      </c>
      <c r="N39" s="40">
        <f>Q13</f>
        <v>3.5000000000000003E-2</v>
      </c>
      <c r="O39" s="16"/>
    </row>
    <row r="40" spans="1:20" x14ac:dyDescent="0.45">
      <c r="B40" s="34" t="s">
        <v>504</v>
      </c>
      <c r="F40" s="32"/>
      <c r="G40" s="32"/>
      <c r="H40" s="32"/>
      <c r="I40" s="32"/>
      <c r="J40" s="36">
        <f>J39*(1+W12)</f>
        <v>4.8989999999999999E-2</v>
      </c>
      <c r="K40" s="40">
        <f t="shared" ref="K40:L40" si="5">J40-(($J$39-$N$39)/($N$35-$J$35))</f>
        <v>4.6240000000000003E-2</v>
      </c>
      <c r="L40" s="40">
        <f t="shared" si="5"/>
        <v>4.3490000000000001E-2</v>
      </c>
      <c r="M40" s="40">
        <f t="shared" si="4"/>
        <v>4.0739999999999998E-2</v>
      </c>
      <c r="N40" s="40">
        <f>W13</f>
        <v>6.5000000000000002E-2</v>
      </c>
      <c r="O40" s="16"/>
    </row>
    <row r="41" spans="1:20" x14ac:dyDescent="0.45">
      <c r="B41" s="16"/>
      <c r="F41" s="32"/>
      <c r="G41" s="32"/>
      <c r="H41" s="32"/>
      <c r="I41" s="32"/>
      <c r="O41" s="16"/>
    </row>
    <row r="42" spans="1:20" x14ac:dyDescent="0.45">
      <c r="O42" s="16"/>
    </row>
    <row r="43" spans="1:20" x14ac:dyDescent="0.45">
      <c r="B43" s="77" t="s">
        <v>505</v>
      </c>
      <c r="C43" s="77"/>
      <c r="D43" s="77"/>
      <c r="E43" s="78">
        <v>2021</v>
      </c>
      <c r="F43" s="78">
        <f>E43+1</f>
        <v>2022</v>
      </c>
      <c r="G43" s="78">
        <f>F43+1</f>
        <v>2023</v>
      </c>
      <c r="H43" s="78">
        <f t="shared" ref="H43:N43" si="6">G43+1</f>
        <v>2024</v>
      </c>
      <c r="I43" s="78">
        <f t="shared" si="6"/>
        <v>2025</v>
      </c>
      <c r="J43" s="79">
        <f>I43+1</f>
        <v>2026</v>
      </c>
      <c r="K43" s="79">
        <f t="shared" si="6"/>
        <v>2027</v>
      </c>
      <c r="L43" s="79">
        <f t="shared" si="6"/>
        <v>2028</v>
      </c>
      <c r="M43" s="79">
        <f>L43+1</f>
        <v>2029</v>
      </c>
      <c r="N43" s="79">
        <f t="shared" si="6"/>
        <v>2030</v>
      </c>
      <c r="O43" s="16"/>
    </row>
    <row r="44" spans="1:20" x14ac:dyDescent="0.45">
      <c r="B44" s="16" t="s">
        <v>526</v>
      </c>
      <c r="E44" s="32">
        <f>'Income - As Reported'!C12</f>
        <v>1111.4621</v>
      </c>
      <c r="F44" s="32">
        <f>'Income - As Reported'!D12</f>
        <v>1309.1439</v>
      </c>
      <c r="G44" s="32">
        <f>'Income - As Reported'!E12</f>
        <v>1536.585</v>
      </c>
      <c r="H44" s="32">
        <f>'Income - As Reported'!F12</f>
        <v>1542.2240999999999</v>
      </c>
      <c r="I44" s="32">
        <f>'Income - As Reported'!G12</f>
        <v>1667.56</v>
      </c>
      <c r="J44" s="33">
        <f ca="1">J45*J$36</f>
        <v>2916.2794107905156</v>
      </c>
      <c r="K44" s="33">
        <f t="shared" ref="K44:N44" ca="1" si="7">K45*K$36</f>
        <v>2741.5780893180504</v>
      </c>
      <c r="L44" s="33">
        <f t="shared" ca="1" si="7"/>
        <v>2541.558526683214</v>
      </c>
      <c r="M44" s="33">
        <f t="shared" ca="1" si="7"/>
        <v>2316.7394206752906</v>
      </c>
      <c r="N44" s="33">
        <f t="shared" ca="1" si="7"/>
        <v>2044.6012544940322</v>
      </c>
      <c r="O44" s="16"/>
    </row>
    <row r="45" spans="1:20" x14ac:dyDescent="0.45">
      <c r="B45" s="34" t="s">
        <v>506</v>
      </c>
      <c r="E45" s="47">
        <f>E44/E$36</f>
        <v>0.6420294738257637</v>
      </c>
      <c r="F45" s="47">
        <f t="shared" ref="F45:I45" si="8">F44/F$36</f>
        <v>0.68221602557221162</v>
      </c>
      <c r="G45" s="47">
        <f t="shared" si="8"/>
        <v>0.66830853139006141</v>
      </c>
      <c r="H45" s="47">
        <f t="shared" si="8"/>
        <v>0.66667296354844641</v>
      </c>
      <c r="I45" s="47">
        <f t="shared" si="8"/>
        <v>0.6580043397129508</v>
      </c>
      <c r="J45" s="35">
        <f ca="1">OFFSET(J45,$E$16,0)</f>
        <v>1.1036750000000002</v>
      </c>
      <c r="K45" s="35">
        <f t="shared" ref="K45:N45" ca="1" si="9">OFFSET(K45,$E$16,0)</f>
        <v>0.99775625000000012</v>
      </c>
      <c r="L45" s="35">
        <f t="shared" ca="1" si="9"/>
        <v>0.89183750000000006</v>
      </c>
      <c r="M45" s="35">
        <f t="shared" ca="1" si="9"/>
        <v>0.78591875</v>
      </c>
      <c r="N45" s="35">
        <f t="shared" ca="1" si="9"/>
        <v>0.68</v>
      </c>
      <c r="O45" s="16"/>
    </row>
    <row r="46" spans="1:20" x14ac:dyDescent="0.45">
      <c r="B46" s="34" t="s">
        <v>502</v>
      </c>
      <c r="F46" s="32"/>
      <c r="G46" s="32"/>
      <c r="H46" s="32"/>
      <c r="I46" s="32"/>
      <c r="J46" s="36">
        <f>J47*(1+K16)</f>
        <v>1.1036750000000002</v>
      </c>
      <c r="K46" s="40">
        <f>J46-(($J$46-$N$46)/($N$43-$J$43))</f>
        <v>0.99775625000000012</v>
      </c>
      <c r="L46" s="40">
        <f t="shared" ref="L46:M46" si="10">K46-(($J$46-$N$46)/($N$43-$J$43))</f>
        <v>0.89183750000000006</v>
      </c>
      <c r="M46" s="40">
        <f t="shared" si="10"/>
        <v>0.78591875</v>
      </c>
      <c r="N46" s="48">
        <f>K17</f>
        <v>0.68</v>
      </c>
      <c r="O46" s="16"/>
    </row>
    <row r="47" spans="1:20" x14ac:dyDescent="0.45">
      <c r="B47" s="34" t="s">
        <v>503</v>
      </c>
      <c r="F47" s="32"/>
      <c r="G47" s="32"/>
      <c r="H47" s="38"/>
      <c r="I47" s="32"/>
      <c r="J47" s="39">
        <f>Q16</f>
        <v>0.65500000000000003</v>
      </c>
      <c r="K47" s="40">
        <f>J47-(($J$47-$N$47)/($N$43-$J$43))</f>
        <v>0.65250000000000008</v>
      </c>
      <c r="L47" s="40">
        <f t="shared" ref="L47:M47" si="11">K47-(($J$47-$N$47)/($N$43-$J$43))</f>
        <v>0.65000000000000013</v>
      </c>
      <c r="M47" s="40">
        <f t="shared" si="11"/>
        <v>0.64750000000000019</v>
      </c>
      <c r="N47" s="37">
        <f>Q17</f>
        <v>0.64500000000000002</v>
      </c>
      <c r="O47" s="16"/>
    </row>
    <row r="48" spans="1:20" x14ac:dyDescent="0.45">
      <c r="B48" s="34" t="s">
        <v>504</v>
      </c>
      <c r="F48" s="32"/>
      <c r="G48" s="32"/>
      <c r="H48" s="32"/>
      <c r="I48" s="32"/>
      <c r="J48" s="36">
        <f>J47*(1+W16)</f>
        <v>1.0807499999999999</v>
      </c>
      <c r="K48" s="40">
        <f>J48-(($J$48-$N$48)/($N$43-$J$43))</f>
        <v>0.97056249999999988</v>
      </c>
      <c r="L48" s="40">
        <f t="shared" ref="L48:M48" si="12">K48-(($J$48-$N$48)/($N$43-$J$43))</f>
        <v>0.86037499999999989</v>
      </c>
      <c r="M48" s="40">
        <f t="shared" si="12"/>
        <v>0.7501874999999999</v>
      </c>
      <c r="N48" s="37">
        <f>W17</f>
        <v>0.64</v>
      </c>
      <c r="O48" s="16"/>
    </row>
    <row r="49" spans="1:19" x14ac:dyDescent="0.45">
      <c r="B49" s="16"/>
      <c r="F49" s="32"/>
      <c r="G49" s="32"/>
      <c r="H49" s="32"/>
      <c r="I49" s="32"/>
      <c r="O49" s="16"/>
    </row>
    <row r="50" spans="1:19" x14ac:dyDescent="0.45">
      <c r="B50" s="16" t="s">
        <v>527</v>
      </c>
      <c r="E50" s="32">
        <f>'Income - As Reported'!C13</f>
        <v>117.7637</v>
      </c>
      <c r="F50" s="32">
        <f>'Income - As Reported'!D13</f>
        <v>133.30879999999999</v>
      </c>
      <c r="G50" s="32">
        <f>'Income - As Reported'!E13</f>
        <v>154.3597</v>
      </c>
      <c r="H50" s="32">
        <f>'Income - As Reported'!F13</f>
        <v>181.4752</v>
      </c>
      <c r="I50" s="32">
        <f>'Income - As Reported'!G13</f>
        <v>203.25980000000001</v>
      </c>
      <c r="J50" s="33">
        <f ca="1">J51*J$36</f>
        <v>229.56609075088227</v>
      </c>
      <c r="K50" s="33">
        <f t="shared" ref="K50:N50" ca="1" si="13">K51*K$36</f>
        <v>240.86718104709473</v>
      </c>
      <c r="L50" s="33">
        <f t="shared" ca="1" si="13"/>
        <v>252.03631390232354</v>
      </c>
      <c r="M50" s="33">
        <f t="shared" ca="1" si="13"/>
        <v>263.00363887825489</v>
      </c>
      <c r="N50" s="33">
        <f t="shared" ca="1" si="13"/>
        <v>270.60898956538659</v>
      </c>
      <c r="O50" s="16"/>
    </row>
    <row r="51" spans="1:19" x14ac:dyDescent="0.45">
      <c r="A51" s="21"/>
      <c r="B51" s="34" t="s">
        <v>506</v>
      </c>
      <c r="E51" s="83">
        <f>E50/E$36</f>
        <v>6.8025501136543556E-2</v>
      </c>
      <c r="F51" s="83">
        <f t="shared" ref="F51" si="14">F50/F$36</f>
        <v>6.9469368271739135E-2</v>
      </c>
      <c r="G51" s="83">
        <f t="shared" ref="G51" si="15">G50/G$36</f>
        <v>6.7135826793057629E-2</v>
      </c>
      <c r="H51" s="83">
        <f t="shared" ref="H51" si="16">H50/H$36</f>
        <v>7.8448138240445747E-2</v>
      </c>
      <c r="I51" s="83">
        <f t="shared" ref="I51" si="17">I50/I$36</f>
        <v>8.0204508676861075E-2</v>
      </c>
      <c r="J51" s="35">
        <f ca="1">OFFSET(J51,$E$17,0)</f>
        <v>8.6880000000000013E-2</v>
      </c>
      <c r="K51" s="35">
        <f t="shared" ref="K51:N51" ca="1" si="18">OFFSET(K51,$E$17,0)</f>
        <v>8.7660000000000016E-2</v>
      </c>
      <c r="L51" s="35">
        <f t="shared" ca="1" si="18"/>
        <v>8.8440000000000019E-2</v>
      </c>
      <c r="M51" s="35">
        <f t="shared" ca="1" si="18"/>
        <v>8.9220000000000022E-2</v>
      </c>
      <c r="N51" s="35">
        <f t="shared" ca="1" si="18"/>
        <v>0.09</v>
      </c>
      <c r="O51" s="16"/>
      <c r="P51" s="16"/>
      <c r="Q51" s="16"/>
      <c r="R51" s="16"/>
      <c r="S51" s="16"/>
    </row>
    <row r="52" spans="1:19" x14ac:dyDescent="0.45">
      <c r="B52" s="34" t="s">
        <v>502</v>
      </c>
      <c r="E52" s="49"/>
      <c r="F52" s="49"/>
      <c r="G52" s="49"/>
      <c r="H52" s="49"/>
      <c r="I52" s="49"/>
      <c r="J52" s="36">
        <f>J53*(1+K18)</f>
        <v>8.6880000000000013E-2</v>
      </c>
      <c r="K52" s="40">
        <f>J52-(($J$52-$N$52)/($N$43-$J$43))</f>
        <v>8.7660000000000016E-2</v>
      </c>
      <c r="L52" s="40">
        <f t="shared" ref="L52:M52" si="19">K52-(($J$52-$N$52)/($N$43-$J$43))</f>
        <v>8.8440000000000019E-2</v>
      </c>
      <c r="M52" s="40">
        <f t="shared" si="19"/>
        <v>8.9220000000000022E-2</v>
      </c>
      <c r="N52" s="82">
        <f>K19</f>
        <v>0.09</v>
      </c>
      <c r="O52" s="16"/>
    </row>
    <row r="53" spans="1:19" x14ac:dyDescent="0.45">
      <c r="B53" s="34" t="s">
        <v>503</v>
      </c>
      <c r="E53" s="49"/>
      <c r="F53" s="49"/>
      <c r="G53" s="49"/>
      <c r="H53" s="49"/>
      <c r="I53" s="49"/>
      <c r="J53" s="84">
        <f>$Q$18</f>
        <v>0.08</v>
      </c>
      <c r="K53" s="40">
        <f>J53-(($J$53-$N$53)/($N$43-$J$43))</f>
        <v>0.08</v>
      </c>
      <c r="L53" s="40">
        <f t="shared" ref="L53:M53" si="20">K53-(($J$53-$N$53)/($N$43-$J$43))</f>
        <v>0.08</v>
      </c>
      <c r="M53" s="40">
        <f t="shared" si="20"/>
        <v>0.08</v>
      </c>
      <c r="N53" s="82">
        <f>Q19</f>
        <v>0.08</v>
      </c>
      <c r="O53" s="16"/>
    </row>
    <row r="54" spans="1:19" x14ac:dyDescent="0.45">
      <c r="B54" s="34" t="s">
        <v>504</v>
      </c>
      <c r="E54" s="49"/>
      <c r="F54" s="49"/>
      <c r="G54" s="49"/>
      <c r="H54" s="49"/>
      <c r="I54" s="49"/>
      <c r="J54" s="36">
        <f>J53*(1+W18)</f>
        <v>8.6240000000000011E-2</v>
      </c>
      <c r="K54" s="40">
        <f>J54-(($J$54-$N$54)/($N$43-$J$43))</f>
        <v>8.3430000000000004E-2</v>
      </c>
      <c r="L54" s="40">
        <f t="shared" ref="L54:M54" si="21">K54-(($J$54-$N$54)/($N$43-$J$43))</f>
        <v>8.0619999999999997E-2</v>
      </c>
      <c r="M54" s="40">
        <f t="shared" si="21"/>
        <v>7.780999999999999E-2</v>
      </c>
      <c r="N54" s="82">
        <f>W19</f>
        <v>7.4999999999999997E-2</v>
      </c>
      <c r="O54" s="16"/>
    </row>
    <row r="55" spans="1:19" x14ac:dyDescent="0.45">
      <c r="B55" s="34"/>
      <c r="E55" s="49"/>
      <c r="F55" s="49"/>
      <c r="G55" s="49"/>
      <c r="H55" s="49"/>
      <c r="I55" s="49"/>
      <c r="J55" s="49"/>
      <c r="K55" s="49"/>
      <c r="L55" s="49"/>
      <c r="M55" s="49"/>
      <c r="N55" s="49"/>
    </row>
    <row r="56" spans="1:19" x14ac:dyDescent="0.45">
      <c r="B56" s="16" t="s">
        <v>528</v>
      </c>
      <c r="E56" s="32">
        <f>'Income - As Reported'!C14</f>
        <v>92.162199999999999</v>
      </c>
      <c r="F56" s="32">
        <f>'Income - As Reported'!D14</f>
        <v>106.49930000000001</v>
      </c>
      <c r="G56" s="32">
        <f>'Income - As Reported'!E14</f>
        <v>112.5393</v>
      </c>
      <c r="H56" s="32">
        <f>'Income - As Reported'!F14</f>
        <v>121.02370000000001</v>
      </c>
      <c r="I56" s="32">
        <f>'Income - As Reported'!G14</f>
        <v>177.86869999999999</v>
      </c>
      <c r="J56" s="33">
        <f ca="1">J57*J$36</f>
        <v>217.68615124793601</v>
      </c>
      <c r="K56" s="33">
        <f t="shared" ref="K56:N56" ca="1" si="22">K57*K$36</f>
        <v>221.29775299077014</v>
      </c>
      <c r="L56" s="33">
        <f t="shared" ca="1" si="22"/>
        <v>224.25646329264632</v>
      </c>
      <c r="M56" s="33">
        <f t="shared" ca="1" si="22"/>
        <v>226.52743368346077</v>
      </c>
      <c r="N56" s="33">
        <f t="shared" ca="1" si="22"/>
        <v>225.50749130448884</v>
      </c>
      <c r="O56" s="16"/>
    </row>
    <row r="57" spans="1:19" x14ac:dyDescent="0.45">
      <c r="B57" s="34" t="s">
        <v>506</v>
      </c>
      <c r="E57" s="47">
        <f>E56/E$36</f>
        <v>5.3236946876213588E-2</v>
      </c>
      <c r="F57" s="47">
        <f t="shared" ref="F57:I57" si="23">F56/F$36</f>
        <v>5.5498504917773084E-2</v>
      </c>
      <c r="G57" s="47">
        <f t="shared" si="23"/>
        <v>4.8946836202790951E-2</v>
      </c>
      <c r="H57" s="47">
        <f t="shared" si="23"/>
        <v>5.2316150900895746E-2</v>
      </c>
      <c r="I57" s="47">
        <f t="shared" si="23"/>
        <v>7.0185406521564991E-2</v>
      </c>
      <c r="J57" s="35">
        <f ca="1">OFFSET(J57,$E$18,0)</f>
        <v>8.2383999999999999E-2</v>
      </c>
      <c r="K57" s="35">
        <f t="shared" ref="K57:N57" ca="1" si="24">OFFSET(K57,$E$18,0)</f>
        <v>8.0537999999999998E-2</v>
      </c>
      <c r="L57" s="35">
        <f t="shared" ca="1" si="24"/>
        <v>7.8691999999999998E-2</v>
      </c>
      <c r="M57" s="35">
        <f t="shared" ca="1" si="24"/>
        <v>7.6845999999999998E-2</v>
      </c>
      <c r="N57" s="35">
        <f t="shared" ca="1" si="24"/>
        <v>7.4999999999999997E-2</v>
      </c>
      <c r="O57" s="16"/>
    </row>
    <row r="58" spans="1:19" x14ac:dyDescent="0.45">
      <c r="B58" s="34" t="s">
        <v>502</v>
      </c>
      <c r="J58" s="36">
        <f>J59*(1+K20)</f>
        <v>8.2383999999999999E-2</v>
      </c>
      <c r="K58" s="40">
        <f>J58-(($J$58-$N$58)/($N$43-$J$43))</f>
        <v>8.0537999999999998E-2</v>
      </c>
      <c r="L58" s="40">
        <f t="shared" ref="L58:M58" si="25">K58-(($J$58-$N$58)/($N$43-$J$43))</f>
        <v>7.8691999999999998E-2</v>
      </c>
      <c r="M58" s="40">
        <f t="shared" si="25"/>
        <v>7.6845999999999998E-2</v>
      </c>
      <c r="N58" s="36">
        <f>K21</f>
        <v>7.4999999999999997E-2</v>
      </c>
      <c r="O58" s="16"/>
    </row>
    <row r="59" spans="1:19" x14ac:dyDescent="0.45">
      <c r="B59" s="34" t="s">
        <v>503</v>
      </c>
      <c r="J59" s="39">
        <f>Q20</f>
        <v>7.5999999999999998E-2</v>
      </c>
      <c r="K59" s="40">
        <f>J59-(($J$59-$N$59)/($N$43-$J$43))</f>
        <v>7.3249999999999996E-2</v>
      </c>
      <c r="L59" s="40">
        <f t="shared" ref="L59:M59" si="26">K59-(($J$59-$N$59)/($N$43-$J$43))</f>
        <v>7.0499999999999993E-2</v>
      </c>
      <c r="M59" s="40">
        <f t="shared" si="26"/>
        <v>6.7749999999999991E-2</v>
      </c>
      <c r="N59" s="36">
        <f>Q21</f>
        <v>6.5000000000000002E-2</v>
      </c>
      <c r="O59" s="16"/>
    </row>
    <row r="60" spans="1:19" x14ac:dyDescent="0.45">
      <c r="B60" s="34" t="s">
        <v>504</v>
      </c>
      <c r="J60" s="36">
        <f>J59*(1+W20)</f>
        <v>8.1624000000000002E-2</v>
      </c>
      <c r="K60" s="40">
        <f>J60-(($J$60-$N$60)/($N$43-$J$43))</f>
        <v>7.4968000000000007E-2</v>
      </c>
      <c r="L60" s="40">
        <f t="shared" ref="L60:M60" si="27">K60-(($J$60-$N$60)/($N$43-$J$43))</f>
        <v>6.8312000000000012E-2</v>
      </c>
      <c r="M60" s="40">
        <f t="shared" si="27"/>
        <v>6.1656000000000009E-2</v>
      </c>
      <c r="N60" s="36">
        <f>W21</f>
        <v>5.5E-2</v>
      </c>
      <c r="O60" s="16"/>
    </row>
    <row r="61" spans="1:19" x14ac:dyDescent="0.45">
      <c r="B61" s="34"/>
      <c r="O61" s="16"/>
    </row>
    <row r="62" spans="1:19" x14ac:dyDescent="0.45">
      <c r="O62" s="16"/>
    </row>
    <row r="63" spans="1:19" x14ac:dyDescent="0.45">
      <c r="B63" s="41" t="s">
        <v>507</v>
      </c>
      <c r="C63" s="42"/>
      <c r="D63" s="42"/>
      <c r="E63" s="43">
        <f>SUM(E44,E50,E56)</f>
        <v>1321.3879999999999</v>
      </c>
      <c r="F63" s="43">
        <f t="shared" ref="F63:N63" si="28">SUM(F44,F50,F56)</f>
        <v>1548.952</v>
      </c>
      <c r="G63" s="43">
        <f t="shared" si="28"/>
        <v>1803.4839999999999</v>
      </c>
      <c r="H63" s="43">
        <f t="shared" si="28"/>
        <v>1844.723</v>
      </c>
      <c r="I63" s="43">
        <f t="shared" si="28"/>
        <v>2048.6885000000002</v>
      </c>
      <c r="J63" s="43">
        <f t="shared" ca="1" si="28"/>
        <v>3363.5316527893337</v>
      </c>
      <c r="K63" s="43">
        <f t="shared" ca="1" si="28"/>
        <v>3203.7430233559153</v>
      </c>
      <c r="L63" s="43">
        <f t="shared" ca="1" si="28"/>
        <v>3017.8513038781839</v>
      </c>
      <c r="M63" s="43">
        <f t="shared" ca="1" si="28"/>
        <v>2806.2704932370066</v>
      </c>
      <c r="N63" s="94">
        <f t="shared" ca="1" si="28"/>
        <v>2540.7177353639077</v>
      </c>
      <c r="O63" s="16"/>
    </row>
    <row r="64" spans="1:19" x14ac:dyDescent="0.45">
      <c r="B64" s="44" t="s">
        <v>506</v>
      </c>
      <c r="C64" s="45"/>
      <c r="D64" s="45"/>
      <c r="E64" s="46">
        <f>E63/E36</f>
        <v>0.76329192183852079</v>
      </c>
      <c r="F64" s="46">
        <f t="shared" ref="F64:N64" si="29">F63/F36</f>
        <v>0.80718389876172381</v>
      </c>
      <c r="G64" s="46">
        <f t="shared" si="29"/>
        <v>0.78439119438590987</v>
      </c>
      <c r="H64" s="46">
        <f t="shared" si="29"/>
        <v>0.79743725268978793</v>
      </c>
      <c r="I64" s="46">
        <f t="shared" si="29"/>
        <v>0.80839425491137695</v>
      </c>
      <c r="J64" s="46">
        <f t="shared" ca="1" si="29"/>
        <v>1.2729390000000003</v>
      </c>
      <c r="K64" s="46">
        <f t="shared" ca="1" si="29"/>
        <v>1.1659542500000002</v>
      </c>
      <c r="L64" s="46">
        <f t="shared" ca="1" si="29"/>
        <v>1.0589695000000001</v>
      </c>
      <c r="M64" s="46">
        <f t="shared" ca="1" si="29"/>
        <v>0.95198475000000016</v>
      </c>
      <c r="N64" s="95">
        <f t="shared" ca="1" si="29"/>
        <v>0.84499999999999997</v>
      </c>
      <c r="O64" s="16"/>
    </row>
    <row r="65" spans="1:19" x14ac:dyDescent="0.45">
      <c r="N65" s="80"/>
      <c r="O65" s="96"/>
    </row>
    <row r="66" spans="1:19" x14ac:dyDescent="0.45">
      <c r="B66" s="41" t="s">
        <v>508</v>
      </c>
      <c r="C66" s="42"/>
      <c r="D66" s="42"/>
      <c r="E66" s="43">
        <f>E36-E63</f>
        <v>409.78190000000018</v>
      </c>
      <c r="F66" s="43">
        <f t="shared" ref="F66:N66" si="30">F36-F63</f>
        <v>370.00600000000009</v>
      </c>
      <c r="G66" s="43">
        <f t="shared" si="30"/>
        <v>495.73100000000022</v>
      </c>
      <c r="H66" s="43">
        <f t="shared" si="30"/>
        <v>468.59130000000005</v>
      </c>
      <c r="I66" s="43">
        <f t="shared" si="30"/>
        <v>485.58049999999957</v>
      </c>
      <c r="J66" s="43">
        <f t="shared" ca="1" si="30"/>
        <v>-721.19635409133389</v>
      </c>
      <c r="K66" s="43">
        <f t="shared" ca="1" si="30"/>
        <v>-455.9996849222548</v>
      </c>
      <c r="L66" s="43">
        <f t="shared" ca="1" si="30"/>
        <v>-168.05128236842029</v>
      </c>
      <c r="M66" s="43">
        <f t="shared" ca="1" si="30"/>
        <v>141.53985061252069</v>
      </c>
      <c r="N66" s="94">
        <f t="shared" ca="1" si="30"/>
        <v>466.04881536261018</v>
      </c>
      <c r="O66" s="16"/>
    </row>
    <row r="67" spans="1:19" x14ac:dyDescent="0.45">
      <c r="B67" s="44" t="s">
        <v>506</v>
      </c>
      <c r="C67" s="45"/>
      <c r="D67" s="45"/>
      <c r="E67" s="46">
        <f>E66/E36</f>
        <v>0.23670807816147921</v>
      </c>
      <c r="F67" s="46">
        <f t="shared" ref="F67:N67" si="31">F66/F36</f>
        <v>0.19281610123827622</v>
      </c>
      <c r="G67" s="46">
        <f t="shared" si="31"/>
        <v>0.2156088056140901</v>
      </c>
      <c r="H67" s="46">
        <f t="shared" si="31"/>
        <v>0.20256274731021204</v>
      </c>
      <c r="I67" s="46">
        <f t="shared" si="31"/>
        <v>0.19160574508862305</v>
      </c>
      <c r="J67" s="46">
        <f t="shared" ca="1" si="31"/>
        <v>-0.27293900000000021</v>
      </c>
      <c r="K67" s="46">
        <f t="shared" ca="1" si="31"/>
        <v>-0.16595425000000019</v>
      </c>
      <c r="L67" s="46">
        <f t="shared" ca="1" si="31"/>
        <v>-5.8969500000000098E-2</v>
      </c>
      <c r="M67" s="46">
        <f t="shared" ca="1" si="31"/>
        <v>4.8015249999999891E-2</v>
      </c>
      <c r="N67" s="95">
        <f t="shared" ca="1" si="31"/>
        <v>0.15499999999999997</v>
      </c>
      <c r="O67" s="16"/>
    </row>
    <row r="68" spans="1:19" x14ac:dyDescent="0.45">
      <c r="B68" s="50"/>
      <c r="C68" s="51"/>
      <c r="D68" s="51"/>
      <c r="E68" s="52"/>
      <c r="F68" s="52"/>
      <c r="G68" s="52"/>
      <c r="H68" s="52"/>
      <c r="I68" s="52"/>
      <c r="J68" s="53"/>
      <c r="K68" s="53"/>
      <c r="L68" s="52"/>
      <c r="M68" s="52"/>
      <c r="N68" s="52"/>
      <c r="O68" s="16"/>
    </row>
    <row r="69" spans="1:19" x14ac:dyDescent="0.45">
      <c r="B69" s="77" t="s">
        <v>496</v>
      </c>
      <c r="C69" s="77"/>
      <c r="D69" s="77"/>
      <c r="E69" s="78">
        <v>2021</v>
      </c>
      <c r="F69" s="78">
        <f>E69+1</f>
        <v>2022</v>
      </c>
      <c r="G69" s="78">
        <f>F69+1</f>
        <v>2023</v>
      </c>
      <c r="H69" s="78">
        <f t="shared" ref="H69:L69" si="32">G69+1</f>
        <v>2024</v>
      </c>
      <c r="I69" s="78">
        <f t="shared" si="32"/>
        <v>2025</v>
      </c>
      <c r="J69" s="79">
        <f>I69+1</f>
        <v>2026</v>
      </c>
      <c r="K69" s="79">
        <f t="shared" si="32"/>
        <v>2027</v>
      </c>
      <c r="L69" s="79">
        <f t="shared" si="32"/>
        <v>2028</v>
      </c>
      <c r="M69" s="79">
        <f>L69+1</f>
        <v>2029</v>
      </c>
      <c r="N69" s="79">
        <f>M69+1</f>
        <v>2030</v>
      </c>
      <c r="O69" s="16"/>
    </row>
    <row r="70" spans="1:19" x14ac:dyDescent="0.45">
      <c r="B70" s="16" t="s">
        <v>509</v>
      </c>
      <c r="C70" s="51"/>
      <c r="D70" s="51"/>
      <c r="E70" s="54">
        <f>'Income - As Reported'!C22</f>
        <v>416.35169999999999</v>
      </c>
      <c r="F70" s="54">
        <f>'Income - As Reported'!D22</f>
        <v>369.72309999999999</v>
      </c>
      <c r="G70" s="54">
        <f>'Income - As Reported'!E22</f>
        <v>504.9812</v>
      </c>
      <c r="H70" s="54">
        <f>'Income - As Reported'!F22</f>
        <v>472.21370000000002</v>
      </c>
      <c r="I70" s="54">
        <f>'Income - As Reported'!G22</f>
        <v>461.06240000000003</v>
      </c>
      <c r="J70" s="54"/>
      <c r="K70" s="52"/>
      <c r="L70" s="52"/>
      <c r="M70" s="52"/>
      <c r="N70" s="52"/>
      <c r="O70" s="16"/>
    </row>
    <row r="71" spans="1:19" x14ac:dyDescent="0.45">
      <c r="B71" s="16" t="s">
        <v>496</v>
      </c>
      <c r="C71" s="51"/>
      <c r="D71" s="51"/>
      <c r="E71" s="54">
        <f>'Income - As Reported'!C53</f>
        <v>55.554499999999997</v>
      </c>
      <c r="F71" s="54">
        <f>'Income - As Reported'!D53</f>
        <v>50.965699999999998</v>
      </c>
      <c r="G71" s="54">
        <f>'Income - As Reported'!E53</f>
        <v>76.5779</v>
      </c>
      <c r="H71" s="54">
        <f>'Income - As Reported'!F53</f>
        <v>67.725899999999996</v>
      </c>
      <c r="I71" s="54">
        <f>'Income - As Reported'!G53</f>
        <v>76.380300000000005</v>
      </c>
      <c r="J71" s="54"/>
      <c r="K71" s="52"/>
      <c r="L71" s="52"/>
      <c r="M71" s="52"/>
      <c r="N71" s="52"/>
      <c r="O71" s="16"/>
      <c r="P71" s="52"/>
    </row>
    <row r="72" spans="1:19" x14ac:dyDescent="0.45">
      <c r="B72" s="34" t="s">
        <v>510</v>
      </c>
      <c r="C72" s="51"/>
      <c r="D72" s="51"/>
      <c r="E72" s="55">
        <f>E71/E70</f>
        <v>0.13343166366319628</v>
      </c>
      <c r="F72" s="55">
        <f t="shared" ref="F72:I72" si="33">F71/F70</f>
        <v>0.13784829782072042</v>
      </c>
      <c r="G72" s="55">
        <f t="shared" si="33"/>
        <v>0.15164505134052514</v>
      </c>
      <c r="H72" s="55">
        <f t="shared" si="33"/>
        <v>0.14342214128899688</v>
      </c>
      <c r="I72" s="55">
        <f t="shared" si="33"/>
        <v>0.1656615243403062</v>
      </c>
      <c r="J72" s="55"/>
      <c r="K72" s="52"/>
      <c r="L72" s="52"/>
      <c r="M72" s="52"/>
      <c r="N72" s="52"/>
      <c r="O72" s="16"/>
    </row>
    <row r="73" spans="1:19" x14ac:dyDescent="0.45">
      <c r="J73" s="56"/>
      <c r="L73" s="56"/>
      <c r="O73" s="16"/>
      <c r="P73" s="52"/>
    </row>
    <row r="74" spans="1:19" x14ac:dyDescent="0.45">
      <c r="B74" s="77" t="s">
        <v>511</v>
      </c>
      <c r="C74" s="77"/>
      <c r="D74" s="77"/>
      <c r="E74" s="78">
        <v>2021</v>
      </c>
      <c r="F74" s="78">
        <f>E74+1</f>
        <v>2022</v>
      </c>
      <c r="G74" s="78">
        <f>F74+1</f>
        <v>2023</v>
      </c>
      <c r="H74" s="78">
        <f t="shared" ref="H74:L74" si="34">G74+1</f>
        <v>2024</v>
      </c>
      <c r="I74" s="78">
        <f t="shared" si="34"/>
        <v>2025</v>
      </c>
      <c r="J74" s="79">
        <f>I74+1</f>
        <v>2026</v>
      </c>
      <c r="K74" s="79">
        <f t="shared" si="34"/>
        <v>2027</v>
      </c>
      <c r="L74" s="79">
        <f t="shared" si="34"/>
        <v>2028</v>
      </c>
      <c r="M74" s="79">
        <f>L74+1</f>
        <v>2029</v>
      </c>
      <c r="N74" s="79">
        <f>M74+1</f>
        <v>2030</v>
      </c>
      <c r="O74" s="16"/>
      <c r="P74" s="52"/>
    </row>
    <row r="75" spans="1:19" x14ac:dyDescent="0.45">
      <c r="A75" t="s">
        <v>482</v>
      </c>
      <c r="B75" s="16" t="s">
        <v>497</v>
      </c>
      <c r="E75" s="32">
        <f>'Cash Flow - As Reported'!C9</f>
        <v>99.111999999999995</v>
      </c>
      <c r="F75" s="32">
        <f>'Cash Flow - As Reported'!D9</f>
        <v>96.568399999999997</v>
      </c>
      <c r="G75" s="32">
        <f>'Cash Flow - As Reported'!E9</f>
        <v>93.321200000000005</v>
      </c>
      <c r="H75" s="32">
        <f>'Cash Flow - As Reported'!F9</f>
        <v>94.714699999999993</v>
      </c>
      <c r="I75" s="32">
        <f>'Cash Flow - As Reported'!G9</f>
        <v>104.04179999999999</v>
      </c>
      <c r="J75" s="32"/>
      <c r="K75" s="33"/>
      <c r="L75" s="33"/>
      <c r="M75" s="33"/>
      <c r="N75" s="33"/>
      <c r="O75" s="16"/>
      <c r="P75" s="52"/>
      <c r="Q75" s="49"/>
    </row>
    <row r="76" spans="1:19" x14ac:dyDescent="0.45">
      <c r="B76" s="34" t="s">
        <v>512</v>
      </c>
      <c r="E76" s="47">
        <f>E75/E$36</f>
        <v>5.7251457525919314E-2</v>
      </c>
      <c r="F76" s="47">
        <f t="shared" ref="F76:I76" si="35">F75/F$36</f>
        <v>5.0323352569467385E-2</v>
      </c>
      <c r="G76" s="47">
        <f t="shared" si="35"/>
        <v>4.0588287741685748E-2</v>
      </c>
      <c r="H76" s="47">
        <f t="shared" si="35"/>
        <v>4.0943290758199177E-2</v>
      </c>
      <c r="I76" s="47">
        <f t="shared" si="35"/>
        <v>4.1053968619747944E-2</v>
      </c>
      <c r="J76" s="47"/>
      <c r="K76" s="35"/>
      <c r="L76" s="35"/>
      <c r="M76" s="35"/>
      <c r="N76" s="35"/>
      <c r="O76" s="16"/>
      <c r="Q76" s="49"/>
    </row>
    <row r="77" spans="1:19" x14ac:dyDescent="0.45">
      <c r="A77" s="21" t="s">
        <v>482</v>
      </c>
      <c r="O77" s="16"/>
      <c r="P77" s="16"/>
      <c r="Q77" s="16"/>
      <c r="R77" s="16"/>
      <c r="S77" s="16"/>
    </row>
    <row r="78" spans="1:19" x14ac:dyDescent="0.45">
      <c r="B78" t="s">
        <v>498</v>
      </c>
      <c r="E78" s="57">
        <f>-'Cash Flow - As Reported'!C23</f>
        <v>68.834999999999994</v>
      </c>
      <c r="F78" s="57">
        <f>-'Cash Flow - As Reported'!D23</f>
        <v>146.4331</v>
      </c>
      <c r="G78" s="57">
        <f>-'Cash Flow - As Reported'!E23</f>
        <v>183.67850000000001</v>
      </c>
      <c r="H78" s="57">
        <f>-'Cash Flow - As Reported'!F23</f>
        <v>144.66900000000001</v>
      </c>
      <c r="I78" s="57">
        <f>-'Cash Flow - As Reported'!G23</f>
        <v>129.08879999999999</v>
      </c>
      <c r="J78" s="57"/>
      <c r="O78" s="16"/>
      <c r="P78" s="33"/>
      <c r="Q78" s="49"/>
    </row>
    <row r="79" spans="1:19" x14ac:dyDescent="0.45">
      <c r="B79" s="34" t="s">
        <v>512</v>
      </c>
      <c r="E79" s="47">
        <f>E78/E$36</f>
        <v>3.9762128488948424E-2</v>
      </c>
      <c r="F79" s="47">
        <f t="shared" ref="F79:I79" si="36">F78/F$36</f>
        <v>7.630865292518127E-2</v>
      </c>
      <c r="G79" s="47">
        <f t="shared" si="36"/>
        <v>7.9887483336704049E-2</v>
      </c>
      <c r="H79" s="47">
        <f t="shared" si="36"/>
        <v>6.2537546238312716E-2</v>
      </c>
      <c r="I79" s="47">
        <f t="shared" si="36"/>
        <v>5.0937291976502888E-2</v>
      </c>
      <c r="J79" s="47"/>
      <c r="O79" s="16"/>
      <c r="P79" s="35"/>
      <c r="Q79" s="49"/>
    </row>
    <row r="80" spans="1:19" x14ac:dyDescent="0.45">
      <c r="O80" s="16"/>
      <c r="Q80" s="49"/>
    </row>
    <row r="81" spans="1:20" x14ac:dyDescent="0.45">
      <c r="B81" t="s">
        <v>499</v>
      </c>
      <c r="E81" s="58">
        <f>-SUM('Cash Flow - As Reported'!C13:C17)</f>
        <v>82.138800000000003</v>
      </c>
      <c r="F81" s="58">
        <f>-SUM('Cash Flow - As Reported'!D13:D17)</f>
        <v>91.246499999999997</v>
      </c>
      <c r="G81" s="58">
        <f>-SUM('Cash Flow - As Reported'!E13:E17)</f>
        <v>12.009699999999995</v>
      </c>
      <c r="H81" s="58">
        <f>-SUM('Cash Flow - As Reported'!F13:F17)</f>
        <v>40.392900000000004</v>
      </c>
      <c r="I81" s="58">
        <f>-SUM('Cash Flow - As Reported'!G13:G17)</f>
        <v>-54.45539999999999</v>
      </c>
      <c r="J81" s="58"/>
      <c r="O81" s="16"/>
    </row>
    <row r="82" spans="1:20" x14ac:dyDescent="0.45">
      <c r="A82" s="21" t="s">
        <v>482</v>
      </c>
      <c r="B82" s="34" t="s">
        <v>512</v>
      </c>
      <c r="E82" s="47">
        <f t="shared" ref="E82:I82" si="37">E81/E$36</f>
        <v>4.744698946071093E-2</v>
      </c>
      <c r="F82" s="47">
        <f t="shared" si="37"/>
        <v>4.7550024544570538E-2</v>
      </c>
      <c r="G82" s="47">
        <f t="shared" si="37"/>
        <v>5.2233914618685052E-3</v>
      </c>
      <c r="H82" s="47">
        <f t="shared" si="37"/>
        <v>1.746105144467399E-2</v>
      </c>
      <c r="I82" s="47">
        <f t="shared" si="37"/>
        <v>-2.1487616350119105E-2</v>
      </c>
      <c r="J82" s="59"/>
      <c r="O82" s="16"/>
      <c r="Q82" s="16"/>
      <c r="R82" s="16"/>
      <c r="S82" s="16"/>
      <c r="T82" s="16"/>
    </row>
    <row r="83" spans="1:20" x14ac:dyDescent="0.45">
      <c r="B83" s="34" t="s">
        <v>513</v>
      </c>
      <c r="E83" s="59"/>
      <c r="F83" s="59">
        <f>F81/(F36-E36)</f>
        <v>0.48590139630785978</v>
      </c>
      <c r="G83" s="59">
        <f t="shared" ref="G83:I83" si="38">G81/(G36-F36)</f>
        <v>3.1583113525852233E-2</v>
      </c>
      <c r="H83" s="59">
        <f t="shared" si="38"/>
        <v>2.8648869092792135</v>
      </c>
      <c r="I83" s="59">
        <f t="shared" si="38"/>
        <v>-0.24645504259470402</v>
      </c>
      <c r="J83" s="59"/>
      <c r="O83" s="16"/>
    </row>
    <row r="84" spans="1:20" x14ac:dyDescent="0.45">
      <c r="O84" s="16"/>
    </row>
    <row r="85" spans="1:20" x14ac:dyDescent="0.45">
      <c r="B85" s="77" t="s">
        <v>475</v>
      </c>
      <c r="C85" s="77"/>
      <c r="D85" s="77"/>
      <c r="E85" s="78">
        <v>2021</v>
      </c>
      <c r="F85" s="78">
        <f>E85+1</f>
        <v>2022</v>
      </c>
      <c r="G85" s="78">
        <f>F85+1</f>
        <v>2023</v>
      </c>
      <c r="H85" s="78">
        <f t="shared" ref="H85:L85" si="39">G85+1</f>
        <v>2024</v>
      </c>
      <c r="I85" s="78">
        <f t="shared" si="39"/>
        <v>2025</v>
      </c>
      <c r="J85" s="79">
        <f>I85+1</f>
        <v>2026</v>
      </c>
      <c r="K85" s="79">
        <f t="shared" si="39"/>
        <v>2027</v>
      </c>
      <c r="L85" s="79">
        <f t="shared" si="39"/>
        <v>2028</v>
      </c>
      <c r="M85" s="79">
        <f>L85+1</f>
        <v>2029</v>
      </c>
      <c r="N85" s="79">
        <f>M85+1</f>
        <v>2030</v>
      </c>
      <c r="O85" s="16"/>
    </row>
    <row r="86" spans="1:20" x14ac:dyDescent="0.45">
      <c r="B86" t="s">
        <v>474</v>
      </c>
      <c r="E86" s="60">
        <f>E36</f>
        <v>1731.1699000000001</v>
      </c>
      <c r="F86" s="60">
        <f t="shared" ref="F86:N86" si="40">F36</f>
        <v>1918.9580000000001</v>
      </c>
      <c r="G86" s="60">
        <f t="shared" si="40"/>
        <v>2299.2150000000001</v>
      </c>
      <c r="H86" s="60">
        <f t="shared" si="40"/>
        <v>2313.3143</v>
      </c>
      <c r="I86" s="60">
        <f t="shared" si="40"/>
        <v>2534.2689999999998</v>
      </c>
      <c r="J86" s="60">
        <f t="shared" ca="1" si="40"/>
        <v>2642.3352986979999</v>
      </c>
      <c r="K86" s="60">
        <f t="shared" ca="1" si="40"/>
        <v>2747.7433384336605</v>
      </c>
      <c r="L86" s="60">
        <f t="shared" ca="1" si="40"/>
        <v>2849.8000215097636</v>
      </c>
      <c r="M86" s="60">
        <f t="shared" ca="1" si="40"/>
        <v>2947.8103438495273</v>
      </c>
      <c r="N86" s="60">
        <f t="shared" ca="1" si="40"/>
        <v>3006.7665507265178</v>
      </c>
      <c r="O86" s="16"/>
    </row>
    <row r="87" spans="1:20" x14ac:dyDescent="0.45">
      <c r="B87" s="61" t="s">
        <v>501</v>
      </c>
      <c r="E87" s="62" t="str">
        <f>E37</f>
        <v>--</v>
      </c>
      <c r="F87" s="62">
        <f t="shared" ref="F87:N87" si="41">F37</f>
        <v>0.10847467946387002</v>
      </c>
      <c r="G87" s="62">
        <f t="shared" si="41"/>
        <v>0.19815806286536763</v>
      </c>
      <c r="H87" s="62">
        <f t="shared" si="41"/>
        <v>6.1322233892870948E-3</v>
      </c>
      <c r="I87" s="62">
        <f t="shared" si="41"/>
        <v>9.551434493790989E-2</v>
      </c>
      <c r="J87" s="62">
        <f t="shared" ca="1" si="41"/>
        <v>4.2641999999999999E-2</v>
      </c>
      <c r="K87" s="62">
        <f t="shared" ca="1" si="41"/>
        <v>3.9891999999999997E-2</v>
      </c>
      <c r="L87" s="62">
        <f t="shared" ca="1" si="41"/>
        <v>3.7141999999999994E-2</v>
      </c>
      <c r="M87" s="62">
        <f t="shared" ca="1" si="41"/>
        <v>3.4391999999999992E-2</v>
      </c>
      <c r="N87" s="62">
        <f t="shared" ca="1" si="41"/>
        <v>0.02</v>
      </c>
      <c r="O87" s="16"/>
    </row>
    <row r="88" spans="1:20" x14ac:dyDescent="0.45"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16"/>
    </row>
    <row r="89" spans="1:20" x14ac:dyDescent="0.45">
      <c r="B89" t="s">
        <v>508</v>
      </c>
      <c r="E89" s="60">
        <f>E66</f>
        <v>409.78190000000018</v>
      </c>
      <c r="F89" s="60">
        <f t="shared" ref="F89:N89" si="42">F66</f>
        <v>370.00600000000009</v>
      </c>
      <c r="G89" s="60">
        <f t="shared" si="42"/>
        <v>495.73100000000022</v>
      </c>
      <c r="H89" s="60">
        <f t="shared" si="42"/>
        <v>468.59130000000005</v>
      </c>
      <c r="I89" s="60">
        <f t="shared" si="42"/>
        <v>485.58049999999957</v>
      </c>
      <c r="J89" s="60">
        <f t="shared" ca="1" si="42"/>
        <v>-721.19635409133389</v>
      </c>
      <c r="K89" s="60">
        <f t="shared" ca="1" si="42"/>
        <v>-455.9996849222548</v>
      </c>
      <c r="L89" s="60">
        <f t="shared" ca="1" si="42"/>
        <v>-168.05128236842029</v>
      </c>
      <c r="M89" s="60">
        <f t="shared" ca="1" si="42"/>
        <v>141.53985061252069</v>
      </c>
      <c r="N89" s="60">
        <f t="shared" ca="1" si="42"/>
        <v>466.04881536261018</v>
      </c>
      <c r="O89" s="16"/>
      <c r="P89" s="60"/>
    </row>
    <row r="90" spans="1:20" x14ac:dyDescent="0.45">
      <c r="B90" s="61" t="s">
        <v>506</v>
      </c>
      <c r="E90" s="64">
        <f>E67</f>
        <v>0.23670807816147921</v>
      </c>
      <c r="F90" s="64">
        <f t="shared" ref="F90:N90" si="43">F67</f>
        <v>0.19281610123827622</v>
      </c>
      <c r="G90" s="64">
        <f t="shared" si="43"/>
        <v>0.2156088056140901</v>
      </c>
      <c r="H90" s="64">
        <f t="shared" si="43"/>
        <v>0.20256274731021204</v>
      </c>
      <c r="I90" s="64">
        <f t="shared" si="43"/>
        <v>0.19160574508862305</v>
      </c>
      <c r="J90" s="64">
        <f t="shared" ca="1" si="43"/>
        <v>-0.27293900000000021</v>
      </c>
      <c r="K90" s="64">
        <f t="shared" ca="1" si="43"/>
        <v>-0.16595425000000019</v>
      </c>
      <c r="L90" s="64">
        <f t="shared" ca="1" si="43"/>
        <v>-5.8969500000000098E-2</v>
      </c>
      <c r="M90" s="64">
        <f t="shared" ca="1" si="43"/>
        <v>4.8015249999999891E-2</v>
      </c>
      <c r="N90" s="64">
        <f t="shared" ca="1" si="43"/>
        <v>0.15499999999999997</v>
      </c>
      <c r="O90" s="16"/>
      <c r="P90" s="62"/>
    </row>
    <row r="91" spans="1:20" x14ac:dyDescent="0.45">
      <c r="O91" s="16"/>
      <c r="P91" s="63"/>
    </row>
    <row r="92" spans="1:20" x14ac:dyDescent="0.45">
      <c r="B92" t="s">
        <v>496</v>
      </c>
      <c r="E92" s="65">
        <f>E71</f>
        <v>55.554499999999997</v>
      </c>
      <c r="F92" s="65">
        <f t="shared" ref="F92:I92" si="44">F71</f>
        <v>50.965699999999998</v>
      </c>
      <c r="G92" s="65">
        <f t="shared" si="44"/>
        <v>76.5779</v>
      </c>
      <c r="H92" s="65">
        <f t="shared" si="44"/>
        <v>67.725899999999996</v>
      </c>
      <c r="I92" s="65">
        <f t="shared" si="44"/>
        <v>76.380300000000005</v>
      </c>
      <c r="J92" s="65">
        <f ca="1">J89*J93</f>
        <v>-151.45123435918012</v>
      </c>
      <c r="K92" s="65">
        <f t="shared" ref="K92:N92" ca="1" si="45">K89*K93</f>
        <v>-95.7599338336735</v>
      </c>
      <c r="L92" s="65">
        <f t="shared" ca="1" si="45"/>
        <v>-35.290769297368257</v>
      </c>
      <c r="M92" s="65">
        <f t="shared" ca="1" si="45"/>
        <v>29.723368628629345</v>
      </c>
      <c r="N92" s="65">
        <f t="shared" ca="1" si="45"/>
        <v>97.870251226148142</v>
      </c>
      <c r="O92" s="16"/>
      <c r="P92" s="60"/>
    </row>
    <row r="93" spans="1:20" x14ac:dyDescent="0.45">
      <c r="A93" s="21" t="s">
        <v>482</v>
      </c>
      <c r="B93" s="61" t="s">
        <v>510</v>
      </c>
      <c r="E93" s="66">
        <f>E72</f>
        <v>0.13343166366319628</v>
      </c>
      <c r="F93" s="66">
        <f t="shared" ref="F93:I93" si="46">F72</f>
        <v>0.13784829782072042</v>
      </c>
      <c r="G93" s="66">
        <f t="shared" si="46"/>
        <v>0.15164505134052514</v>
      </c>
      <c r="H93" s="66">
        <f t="shared" si="46"/>
        <v>0.14342214128899688</v>
      </c>
      <c r="I93" s="66">
        <f t="shared" si="46"/>
        <v>0.1656615243403062</v>
      </c>
      <c r="J93" s="66">
        <f>$E$28</f>
        <v>0.21</v>
      </c>
      <c r="K93" s="66">
        <f t="shared" ref="K93:N93" si="47">$E$28</f>
        <v>0.21</v>
      </c>
      <c r="L93" s="66">
        <f t="shared" si="47"/>
        <v>0.21</v>
      </c>
      <c r="M93" s="66">
        <f t="shared" si="47"/>
        <v>0.21</v>
      </c>
      <c r="N93" s="66">
        <f t="shared" si="47"/>
        <v>0.21</v>
      </c>
      <c r="O93" s="16"/>
      <c r="P93" s="64"/>
      <c r="Q93" s="16"/>
      <c r="R93" s="16"/>
      <c r="S93" s="16"/>
      <c r="T93" s="16"/>
    </row>
    <row r="94" spans="1:20" x14ac:dyDescent="0.45">
      <c r="O94" s="16"/>
    </row>
    <row r="95" spans="1:20" x14ac:dyDescent="0.45">
      <c r="B95" s="67" t="s">
        <v>514</v>
      </c>
      <c r="C95" s="68"/>
      <c r="D95" s="68"/>
      <c r="E95" s="69">
        <f>E89-E92</f>
        <v>354.22740000000016</v>
      </c>
      <c r="F95" s="69">
        <f t="shared" ref="F95:N95" si="48">F89-F92</f>
        <v>319.04030000000012</v>
      </c>
      <c r="G95" s="69">
        <f t="shared" si="48"/>
        <v>419.15310000000022</v>
      </c>
      <c r="H95" s="69">
        <f t="shared" si="48"/>
        <v>400.86540000000002</v>
      </c>
      <c r="I95" s="69">
        <f t="shared" si="48"/>
        <v>409.20019999999954</v>
      </c>
      <c r="J95" s="69">
        <f t="shared" ca="1" si="48"/>
        <v>-569.74511973215374</v>
      </c>
      <c r="K95" s="69">
        <f t="shared" ca="1" si="48"/>
        <v>-360.23975108858133</v>
      </c>
      <c r="L95" s="69">
        <f t="shared" ca="1" si="48"/>
        <v>-132.76051307105203</v>
      </c>
      <c r="M95" s="69">
        <f t="shared" ca="1" si="48"/>
        <v>111.81648198389135</v>
      </c>
      <c r="N95" s="99">
        <f t="shared" ca="1" si="48"/>
        <v>368.17856413646206</v>
      </c>
      <c r="O95" s="16"/>
      <c r="P95" s="58"/>
    </row>
    <row r="96" spans="1:20" x14ac:dyDescent="0.45">
      <c r="O96" s="16"/>
      <c r="P96" s="66"/>
    </row>
    <row r="97" spans="2:15" x14ac:dyDescent="0.45">
      <c r="B97" t="s">
        <v>497</v>
      </c>
      <c r="E97" s="65">
        <f>E75</f>
        <v>99.111999999999995</v>
      </c>
      <c r="F97" s="65">
        <f t="shared" ref="F97:I97" si="49">F75</f>
        <v>96.568399999999997</v>
      </c>
      <c r="G97" s="65">
        <f t="shared" si="49"/>
        <v>93.321200000000005</v>
      </c>
      <c r="H97" s="65">
        <f t="shared" si="49"/>
        <v>94.714699999999993</v>
      </c>
      <c r="I97" s="65">
        <f t="shared" si="49"/>
        <v>104.04179999999999</v>
      </c>
      <c r="J97" s="65">
        <f ca="1">J$86*J98</f>
        <v>107.97070608813763</v>
      </c>
      <c r="K97" s="65">
        <f t="shared" ref="K97:N97" ca="1" si="50">K$86*K98</f>
        <v>112.27787349540561</v>
      </c>
      <c r="L97" s="65">
        <f t="shared" ca="1" si="50"/>
        <v>116.44809827277197</v>
      </c>
      <c r="M97" s="65">
        <f t="shared" ca="1" si="50"/>
        <v>120.45298126856915</v>
      </c>
      <c r="N97" s="65">
        <f t="shared" ca="1" si="50"/>
        <v>122.86204089394053</v>
      </c>
      <c r="O97" s="16"/>
    </row>
    <row r="98" spans="2:15" x14ac:dyDescent="0.45">
      <c r="B98" s="61" t="s">
        <v>512</v>
      </c>
      <c r="E98" s="47">
        <f>E97/E$36</f>
        <v>5.7251457525919314E-2</v>
      </c>
      <c r="F98" s="47">
        <f t="shared" ref="F98:I98" si="51">F97/F$36</f>
        <v>5.0323352569467385E-2</v>
      </c>
      <c r="G98" s="47">
        <f t="shared" si="51"/>
        <v>4.0588287741685748E-2</v>
      </c>
      <c r="H98" s="47">
        <f t="shared" si="51"/>
        <v>4.0943290758199177E-2</v>
      </c>
      <c r="I98" s="47">
        <f t="shared" si="51"/>
        <v>4.1053968619747944E-2</v>
      </c>
      <c r="J98" s="66">
        <f>$E$29</f>
        <v>4.0861849039877628E-2</v>
      </c>
      <c r="K98" s="66">
        <f t="shared" ref="K98:N98" si="52">$E$29</f>
        <v>4.0861849039877628E-2</v>
      </c>
      <c r="L98" s="66">
        <f t="shared" si="52"/>
        <v>4.0861849039877628E-2</v>
      </c>
      <c r="M98" s="66">
        <f t="shared" si="52"/>
        <v>4.0861849039877628E-2</v>
      </c>
      <c r="N98" s="66">
        <f t="shared" si="52"/>
        <v>4.0861849039877628E-2</v>
      </c>
      <c r="O98" s="16"/>
    </row>
    <row r="99" spans="2:15" x14ac:dyDescent="0.45">
      <c r="O99" s="16"/>
    </row>
    <row r="100" spans="2:15" x14ac:dyDescent="0.45">
      <c r="B100" t="s">
        <v>498</v>
      </c>
      <c r="E100" s="65">
        <f>E78</f>
        <v>68.834999999999994</v>
      </c>
      <c r="F100" s="65">
        <f t="shared" ref="F100:I100" si="53">F78</f>
        <v>146.4331</v>
      </c>
      <c r="G100" s="65">
        <f t="shared" si="53"/>
        <v>183.67850000000001</v>
      </c>
      <c r="H100" s="65">
        <f t="shared" si="53"/>
        <v>144.66900000000001</v>
      </c>
      <c r="I100" s="65">
        <f t="shared" si="53"/>
        <v>129.08879999999999</v>
      </c>
      <c r="J100" s="65">
        <f ca="1">J$86*J101</f>
        <v>170.30936255792446</v>
      </c>
      <c r="K100" s="65">
        <f t="shared" ref="K100:N100" ca="1" si="54">K$86*K101</f>
        <v>177.10334364908519</v>
      </c>
      <c r="L100" s="65">
        <f t="shared" ca="1" si="54"/>
        <v>183.68131603889952</v>
      </c>
      <c r="M100" s="65">
        <f t="shared" ca="1" si="54"/>
        <v>189.99848386010933</v>
      </c>
      <c r="N100" s="65">
        <f t="shared" ca="1" si="54"/>
        <v>193.79845353731153</v>
      </c>
      <c r="O100" s="16"/>
    </row>
    <row r="101" spans="2:15" x14ac:dyDescent="0.45">
      <c r="B101" s="34" t="s">
        <v>512</v>
      </c>
      <c r="E101" s="47">
        <f>E100/E$36</f>
        <v>3.9762128488948424E-2</v>
      </c>
      <c r="F101" s="47">
        <f t="shared" ref="F101" si="55">F100/F$36</f>
        <v>7.630865292518127E-2</v>
      </c>
      <c r="G101" s="47">
        <f t="shared" ref="G101" si="56">G100/G$36</f>
        <v>7.9887483336704049E-2</v>
      </c>
      <c r="H101" s="47">
        <f t="shared" ref="H101" si="57">H100/H$36</f>
        <v>6.2537546238312716E-2</v>
      </c>
      <c r="I101" s="47">
        <f t="shared" ref="I101" si="58">I100/I$36</f>
        <v>5.0937291976502888E-2</v>
      </c>
      <c r="J101" s="66">
        <f>$E$30</f>
        <v>6.4454107183839884E-2</v>
      </c>
      <c r="K101" s="66">
        <f t="shared" ref="K101:N101" si="59">$E$30</f>
        <v>6.4454107183839884E-2</v>
      </c>
      <c r="L101" s="66">
        <f t="shared" si="59"/>
        <v>6.4454107183839884E-2</v>
      </c>
      <c r="M101" s="66">
        <f t="shared" si="59"/>
        <v>6.4454107183839884E-2</v>
      </c>
      <c r="N101" s="66">
        <f t="shared" si="59"/>
        <v>6.4454107183839884E-2</v>
      </c>
      <c r="O101" s="16"/>
    </row>
    <row r="102" spans="2:15" x14ac:dyDescent="0.45">
      <c r="O102" s="16"/>
    </row>
    <row r="103" spans="2:15" x14ac:dyDescent="0.45">
      <c r="B103" t="s">
        <v>499</v>
      </c>
      <c r="E103" s="65">
        <f>E81</f>
        <v>82.138800000000003</v>
      </c>
      <c r="F103" s="65">
        <f t="shared" ref="F103:I103" si="60">F81</f>
        <v>91.246499999999997</v>
      </c>
      <c r="G103" s="65">
        <f t="shared" si="60"/>
        <v>12.009699999999995</v>
      </c>
      <c r="H103" s="65">
        <f t="shared" si="60"/>
        <v>40.392900000000004</v>
      </c>
      <c r="I103" s="65">
        <f t="shared" si="60"/>
        <v>-54.45539999999999</v>
      </c>
      <c r="J103" s="65">
        <f ca="1">J$86*J104</f>
        <v>32.201381341132929</v>
      </c>
      <c r="K103" s="65">
        <f t="shared" ref="K103:N103" ca="1" si="61">K$86*K104</f>
        <v>33.485958845593402</v>
      </c>
      <c r="L103" s="65">
        <f t="shared" ca="1" si="61"/>
        <v>34.729694329036434</v>
      </c>
      <c r="M103" s="65">
        <f t="shared" ca="1" si="61"/>
        <v>35.924117976400659</v>
      </c>
      <c r="N103" s="65">
        <f t="shared" ca="1" si="61"/>
        <v>36.64260033592867</v>
      </c>
      <c r="O103" s="16"/>
    </row>
    <row r="104" spans="2:15" x14ac:dyDescent="0.45">
      <c r="B104" s="34" t="s">
        <v>512</v>
      </c>
      <c r="E104" s="47">
        <f>E103/E$36</f>
        <v>4.744698946071093E-2</v>
      </c>
      <c r="F104" s="47">
        <f t="shared" ref="F104" si="62">F103/F$36</f>
        <v>4.7550024544570538E-2</v>
      </c>
      <c r="G104" s="47">
        <f t="shared" ref="G104" si="63">G103/G$36</f>
        <v>5.2233914618685052E-3</v>
      </c>
      <c r="H104" s="47">
        <f t="shared" ref="H104" si="64">H103/H$36</f>
        <v>1.746105144467399E-2</v>
      </c>
      <c r="I104" s="47">
        <f t="shared" ref="I104" si="65">I103/I$36</f>
        <v>-2.1487616350119105E-2</v>
      </c>
      <c r="J104" s="66">
        <f>$E$31</f>
        <v>1.2186712775248482E-2</v>
      </c>
      <c r="K104" s="66">
        <f t="shared" ref="K104:N104" si="66">$E$31</f>
        <v>1.2186712775248482E-2</v>
      </c>
      <c r="L104" s="66">
        <f t="shared" si="66"/>
        <v>1.2186712775248482E-2</v>
      </c>
      <c r="M104" s="66">
        <f t="shared" si="66"/>
        <v>1.2186712775248482E-2</v>
      </c>
      <c r="N104" s="66">
        <f t="shared" si="66"/>
        <v>1.2186712775248482E-2</v>
      </c>
      <c r="O104" s="16"/>
    </row>
    <row r="105" spans="2:15" x14ac:dyDescent="0.45">
      <c r="O105" s="16"/>
    </row>
    <row r="106" spans="2:15" x14ac:dyDescent="0.45">
      <c r="B106" s="70" t="s">
        <v>515</v>
      </c>
      <c r="C106" s="71"/>
      <c r="D106" s="71"/>
      <c r="E106" s="71"/>
      <c r="F106" s="71"/>
      <c r="G106" s="71"/>
      <c r="H106" s="71"/>
      <c r="I106" s="71"/>
      <c r="J106" s="86">
        <f ca="1">(J95+J97-J100-J103)*(YEARFRAC($C$4,$C$5))</f>
        <v>-404.10680417203633</v>
      </c>
      <c r="K106" s="86">
        <f t="shared" ref="K106:N106" ca="1" si="67">(K95+K97-K100-K103)*(YEARFRAC($C$4,$C$5))</f>
        <v>-278.95196788677805</v>
      </c>
      <c r="L106" s="86">
        <f t="shared" ca="1" si="67"/>
        <v>-142.79008364278141</v>
      </c>
      <c r="M106" s="86">
        <f t="shared" ca="1" si="67"/>
        <v>3.8610073613698912</v>
      </c>
      <c r="N106" s="97">
        <f t="shared" ca="1" si="67"/>
        <v>158.53139362060716</v>
      </c>
      <c r="O106" s="16"/>
    </row>
    <row r="107" spans="2:15" x14ac:dyDescent="0.45">
      <c r="B107" s="72" t="s">
        <v>516</v>
      </c>
      <c r="C107" s="73"/>
      <c r="D107" s="73"/>
      <c r="E107" s="73"/>
      <c r="F107" s="73"/>
      <c r="G107" s="73"/>
      <c r="H107" s="73"/>
      <c r="I107" s="73"/>
      <c r="J107" s="87">
        <f ca="1">J106/(1+$E$32)^J110</f>
        <v>-392.018717378438</v>
      </c>
      <c r="K107" s="87">
        <f t="shared" ref="K107:N107" ca="1" si="68">K106/(1+$E$32)^K110</f>
        <v>-249.72934114364912</v>
      </c>
      <c r="L107" s="87">
        <f t="shared" ca="1" si="68"/>
        <v>-115.68469657746324</v>
      </c>
      <c r="M107" s="87">
        <f t="shared" ca="1" si="68"/>
        <v>2.8308458134527807</v>
      </c>
      <c r="N107" s="98">
        <f t="shared" ca="1" si="68"/>
        <v>105.18857827487878</v>
      </c>
      <c r="O107" s="16"/>
    </row>
    <row r="108" spans="2:15" x14ac:dyDescent="0.45">
      <c r="K108" s="57"/>
      <c r="L108" s="57"/>
      <c r="M108" s="57"/>
      <c r="N108" s="57"/>
      <c r="O108" s="16"/>
    </row>
    <row r="109" spans="2:15" x14ac:dyDescent="0.45">
      <c r="B109" t="s">
        <v>517</v>
      </c>
      <c r="J109">
        <v>1</v>
      </c>
      <c r="K109">
        <f>+J109+1</f>
        <v>2</v>
      </c>
      <c r="L109">
        <f t="shared" ref="L109:N109" si="69">+K109+1</f>
        <v>3</v>
      </c>
      <c r="M109">
        <f t="shared" si="69"/>
        <v>4</v>
      </c>
      <c r="N109">
        <f t="shared" si="69"/>
        <v>5</v>
      </c>
      <c r="O109" s="16"/>
    </row>
    <row r="110" spans="2:15" x14ac:dyDescent="0.45">
      <c r="B110" t="s">
        <v>518</v>
      </c>
      <c r="J110" s="74">
        <f>YEARFRAC(C4,C5)/2</f>
        <v>0.30416666666666664</v>
      </c>
      <c r="K110" s="74">
        <f>YEARFRAC(C4,C5)+0.5</f>
        <v>1.1083333333333334</v>
      </c>
      <c r="L110" s="74">
        <f>K110+1</f>
        <v>2.1083333333333334</v>
      </c>
      <c r="M110" s="74">
        <f t="shared" ref="M110:N110" si="70">L110+1</f>
        <v>3.1083333333333334</v>
      </c>
      <c r="N110" s="74">
        <f t="shared" si="70"/>
        <v>4.1083333333333334</v>
      </c>
      <c r="O110" s="16"/>
    </row>
    <row r="111" spans="2:15" x14ac:dyDescent="0.45">
      <c r="K111" s="74"/>
      <c r="O111" s="16"/>
    </row>
    <row r="112" spans="2:15" x14ac:dyDescent="0.45">
      <c r="B112" t="s">
        <v>519</v>
      </c>
      <c r="N112" s="93">
        <f ca="1">(N106*(1+E33))/(E32-E33)</f>
        <v>1902.3767234472862</v>
      </c>
      <c r="O112" s="16"/>
    </row>
    <row r="113" spans="1:16" x14ac:dyDescent="0.45">
      <c r="B113" t="s">
        <v>520</v>
      </c>
      <c r="N113" s="93">
        <f ca="1">N112/(1+E32)^N110</f>
        <v>1262.2629392985455</v>
      </c>
      <c r="O113" s="16"/>
    </row>
    <row r="114" spans="1:16" x14ac:dyDescent="0.45">
      <c r="B114" t="s">
        <v>521</v>
      </c>
      <c r="N114" s="93">
        <f ca="1">SUM(N113,J107:N107)</f>
        <v>612.84960828732676</v>
      </c>
      <c r="O114" s="16"/>
    </row>
    <row r="115" spans="1:16" x14ac:dyDescent="0.45">
      <c r="B115" t="s">
        <v>522</v>
      </c>
      <c r="N115" s="93">
        <f>'Bal Sheet - As Reported'!G8+'Bal Sheet - As Reported'!G14</f>
        <v>151.03229999999999</v>
      </c>
      <c r="O115" s="16"/>
    </row>
    <row r="116" spans="1:16" x14ac:dyDescent="0.45">
      <c r="B116" t="s">
        <v>523</v>
      </c>
      <c r="N116" s="93">
        <v>3.8</v>
      </c>
      <c r="O116" s="16"/>
    </row>
    <row r="117" spans="1:16" x14ac:dyDescent="0.45">
      <c r="B117" t="s">
        <v>524</v>
      </c>
      <c r="N117" s="93">
        <f ca="1">N114+N115-N116</f>
        <v>760.08190828732677</v>
      </c>
      <c r="O117" s="16"/>
    </row>
    <row r="118" spans="1:16" x14ac:dyDescent="0.45">
      <c r="B118" t="s">
        <v>525</v>
      </c>
      <c r="N118" s="92">
        <f>215402363/1000000</f>
        <v>215.40236300000001</v>
      </c>
      <c r="O118" s="16"/>
      <c r="P118" s="58"/>
    </row>
    <row r="119" spans="1:16" x14ac:dyDescent="0.45">
      <c r="B119" t="s">
        <v>477</v>
      </c>
      <c r="N119" s="93">
        <f ca="1">N117/N118</f>
        <v>3.528660956645711</v>
      </c>
      <c r="O119" s="16"/>
      <c r="P119" s="58"/>
    </row>
    <row r="120" spans="1:16" x14ac:dyDescent="0.45">
      <c r="O120" s="16"/>
      <c r="P120" s="75"/>
    </row>
    <row r="121" spans="1:16" x14ac:dyDescent="0.45">
      <c r="O121" s="16"/>
      <c r="P121" s="75"/>
    </row>
    <row r="122" spans="1:16" x14ac:dyDescent="0.45">
      <c r="O122" s="16"/>
      <c r="P122" s="76"/>
    </row>
    <row r="123" spans="1:16" x14ac:dyDescent="0.45">
      <c r="O123" s="16"/>
    </row>
    <row r="124" spans="1:16" x14ac:dyDescent="0.45">
      <c r="O124" s="16"/>
    </row>
    <row r="125" spans="1:16" x14ac:dyDescent="0.45">
      <c r="O125" s="16"/>
    </row>
    <row r="126" spans="1:16" x14ac:dyDescent="0.45">
      <c r="O126" s="16"/>
    </row>
    <row r="127" spans="1:16" x14ac:dyDescent="0.45">
      <c r="A127" t="s">
        <v>482</v>
      </c>
    </row>
  </sheetData>
  <mergeCells count="1">
    <mergeCell ref="B1:W1"/>
  </mergeCells>
  <dataValidations count="1">
    <dataValidation type="list" allowBlank="1" showInputMessage="1" showErrorMessage="1" sqref="K4" xr:uid="{648EBAAC-15A5-4B5F-9D42-B56D1EB1E9C5}">
      <formula1>"Conservative, Bear, Optimistic"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opLeftCell="A71" zoomScale="219" zoomScaleNormal="100" workbookViewId="0">
      <selection activeCell="I71" sqref="I71"/>
    </sheetView>
  </sheetViews>
  <sheetFormatPr defaultColWidth="14.3984375" defaultRowHeight="15" customHeight="1" x14ac:dyDescent="0.45"/>
  <cols>
    <col min="1" max="1" width="35.1328125" customWidth="1"/>
    <col min="2" max="2" width="8.73046875" hidden="1" customWidth="1"/>
    <col min="3" max="7" width="11.86328125" customWidth="1"/>
    <col min="8" max="26" width="8.73046875" customWidth="1"/>
  </cols>
  <sheetData>
    <row r="1" spans="1:7" ht="14.25" x14ac:dyDescent="0.45">
      <c r="A1" s="1"/>
      <c r="B1" s="1"/>
      <c r="C1" s="1"/>
      <c r="D1" s="1"/>
      <c r="E1" s="1"/>
      <c r="F1" s="1"/>
      <c r="G1" s="1"/>
    </row>
    <row r="2" spans="1:7" ht="20.65" x14ac:dyDescent="0.45">
      <c r="A2" s="2" t="s">
        <v>0</v>
      </c>
      <c r="B2" s="2"/>
      <c r="C2" s="2"/>
      <c r="D2" s="2"/>
      <c r="E2" s="2"/>
      <c r="F2" s="2"/>
      <c r="G2" s="2"/>
    </row>
    <row r="3" spans="1:7" ht="14.25" x14ac:dyDescent="0.45">
      <c r="A3" s="3"/>
      <c r="B3" s="3"/>
      <c r="C3" s="3"/>
      <c r="D3" s="3"/>
      <c r="E3" s="3"/>
      <c r="F3" s="3"/>
      <c r="G3" s="3"/>
    </row>
    <row r="4" spans="1:7" ht="14.25" x14ac:dyDescent="0.45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</row>
    <row r="5" spans="1:7" ht="14.25" x14ac:dyDescent="0.45">
      <c r="A5" s="6" t="s">
        <v>7</v>
      </c>
      <c r="B5" s="6"/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</row>
    <row r="6" spans="1:7" ht="14.25" x14ac:dyDescent="0.45">
      <c r="A6" s="8" t="s">
        <v>13</v>
      </c>
      <c r="B6" s="9"/>
      <c r="C6" s="9"/>
      <c r="D6" s="9"/>
      <c r="E6" s="9"/>
      <c r="F6" s="9"/>
      <c r="G6" s="9"/>
    </row>
    <row r="7" spans="1:7" ht="14.25" x14ac:dyDescent="0.45">
      <c r="A7" s="10" t="s">
        <v>14</v>
      </c>
      <c r="B7" s="11"/>
      <c r="C7" s="11"/>
      <c r="D7" s="11"/>
      <c r="E7" s="11"/>
      <c r="F7" s="11"/>
      <c r="G7" s="11"/>
    </row>
    <row r="8" spans="1:7" ht="14.25" x14ac:dyDescent="0.45">
      <c r="A8" s="10" t="s">
        <v>15</v>
      </c>
      <c r="B8" s="10" t="s">
        <v>16</v>
      </c>
      <c r="C8" s="12">
        <v>1731.1699000000001</v>
      </c>
      <c r="D8" s="12">
        <v>1918.9580000000001</v>
      </c>
      <c r="E8" s="12">
        <v>2299.2150000000001</v>
      </c>
      <c r="F8" s="12">
        <v>2313.3143</v>
      </c>
      <c r="G8" s="12">
        <v>2534.2689999999998</v>
      </c>
    </row>
    <row r="9" spans="1:7" ht="14.25" x14ac:dyDescent="0.45">
      <c r="A9" s="8" t="s">
        <v>17</v>
      </c>
      <c r="B9" s="8" t="s">
        <v>18</v>
      </c>
      <c r="C9" s="13">
        <v>1731.1699000000001</v>
      </c>
      <c r="D9" s="13">
        <v>1918.9580000000001</v>
      </c>
      <c r="E9" s="13">
        <v>2299.2150000000001</v>
      </c>
      <c r="F9" s="13">
        <v>2313.3143</v>
      </c>
      <c r="G9" s="13">
        <v>2534.2689999999998</v>
      </c>
    </row>
    <row r="10" spans="1:7" ht="14.25" x14ac:dyDescent="0.45">
      <c r="A10" s="10" t="s">
        <v>19</v>
      </c>
      <c r="B10" s="11"/>
      <c r="C10" s="11"/>
      <c r="D10" s="11"/>
      <c r="E10" s="11"/>
      <c r="F10" s="11"/>
      <c r="G10" s="11"/>
    </row>
    <row r="11" spans="1:7" ht="14.25" x14ac:dyDescent="0.45">
      <c r="A11" s="10" t="s">
        <v>20</v>
      </c>
      <c r="B11" s="10" t="s">
        <v>21</v>
      </c>
      <c r="C11" s="12">
        <v>209.92590000000001</v>
      </c>
      <c r="D11" s="12">
        <v>239.8081</v>
      </c>
      <c r="E11" s="12">
        <v>266.899</v>
      </c>
      <c r="F11" s="12">
        <v>311.36360000000002</v>
      </c>
      <c r="G11" s="12">
        <v>392.77319999999997</v>
      </c>
    </row>
    <row r="12" spans="1:7" ht="14.25" x14ac:dyDescent="0.45">
      <c r="A12" s="10" t="s">
        <v>22</v>
      </c>
      <c r="B12" s="10" t="s">
        <v>23</v>
      </c>
      <c r="C12" s="12">
        <v>1111.4621</v>
      </c>
      <c r="D12" s="12">
        <v>1309.1439</v>
      </c>
      <c r="E12" s="12">
        <v>1536.585</v>
      </c>
      <c r="F12" s="12">
        <v>1542.2240999999999</v>
      </c>
      <c r="G12" s="12">
        <v>1667.56</v>
      </c>
    </row>
    <row r="13" spans="1:7" ht="14.25" x14ac:dyDescent="0.45">
      <c r="A13" s="10" t="s">
        <v>24</v>
      </c>
      <c r="B13" s="10" t="s">
        <v>25</v>
      </c>
      <c r="C13" s="12">
        <v>117.7637</v>
      </c>
      <c r="D13" s="12">
        <v>133.30879999999999</v>
      </c>
      <c r="E13" s="12">
        <v>154.3597</v>
      </c>
      <c r="F13" s="12">
        <v>181.4752</v>
      </c>
      <c r="G13" s="12">
        <v>203.25980000000001</v>
      </c>
    </row>
    <row r="14" spans="1:7" ht="14.25" x14ac:dyDescent="0.45">
      <c r="A14" s="10" t="s">
        <v>26</v>
      </c>
      <c r="B14" s="10" t="s">
        <v>27</v>
      </c>
      <c r="C14" s="12">
        <v>92.162199999999999</v>
      </c>
      <c r="D14" s="12">
        <v>106.49930000000001</v>
      </c>
      <c r="E14" s="12">
        <v>112.5393</v>
      </c>
      <c r="F14" s="12">
        <v>121.02370000000001</v>
      </c>
      <c r="G14" s="12">
        <v>177.86869999999999</v>
      </c>
    </row>
    <row r="15" spans="1:7" ht="14.25" x14ac:dyDescent="0.45">
      <c r="A15" s="10" t="s">
        <v>28</v>
      </c>
      <c r="B15" s="10" t="s">
        <v>29</v>
      </c>
      <c r="C15" s="12" t="s">
        <v>30</v>
      </c>
      <c r="D15" s="12" t="s">
        <v>30</v>
      </c>
      <c r="E15" s="12" t="s">
        <v>30</v>
      </c>
      <c r="F15" s="12" t="s">
        <v>30</v>
      </c>
      <c r="G15" s="12">
        <v>11.6447</v>
      </c>
    </row>
    <row r="16" spans="1:7" ht="14.25" x14ac:dyDescent="0.45">
      <c r="A16" s="10" t="s">
        <v>31</v>
      </c>
      <c r="B16" s="10" t="s">
        <v>32</v>
      </c>
      <c r="C16" s="12" t="s">
        <v>30</v>
      </c>
      <c r="D16" s="12" t="s">
        <v>30</v>
      </c>
      <c r="E16" s="12" t="s">
        <v>30</v>
      </c>
      <c r="F16" s="12">
        <v>8.8646999999999991</v>
      </c>
      <c r="G16" s="12">
        <v>0</v>
      </c>
    </row>
    <row r="17" spans="1:7" ht="14.25" x14ac:dyDescent="0.45">
      <c r="A17" s="10" t="s">
        <v>33</v>
      </c>
      <c r="B17" s="10" t="s">
        <v>34</v>
      </c>
      <c r="C17" s="12">
        <v>619.70780000000002</v>
      </c>
      <c r="D17" s="12">
        <v>609.81420000000003</v>
      </c>
      <c r="E17" s="12">
        <v>762.63</v>
      </c>
      <c r="F17" s="12">
        <v>771.09019999999998</v>
      </c>
      <c r="G17" s="12">
        <v>866.70889999999997</v>
      </c>
    </row>
    <row r="18" spans="1:7" ht="14.25" x14ac:dyDescent="0.45">
      <c r="A18" s="10" t="s">
        <v>35</v>
      </c>
      <c r="B18" s="10" t="s">
        <v>36</v>
      </c>
      <c r="C18" s="12">
        <v>409.78199999999998</v>
      </c>
      <c r="D18" s="12">
        <v>370.0061</v>
      </c>
      <c r="E18" s="12">
        <v>495.73110000000003</v>
      </c>
      <c r="F18" s="12">
        <v>459.72660000000002</v>
      </c>
      <c r="G18" s="12">
        <v>473.93579999999997</v>
      </c>
    </row>
    <row r="19" spans="1:7" ht="14.25" x14ac:dyDescent="0.45">
      <c r="A19" s="10" t="s">
        <v>37</v>
      </c>
      <c r="B19" s="11"/>
      <c r="C19" s="11"/>
      <c r="D19" s="11"/>
      <c r="E19" s="11"/>
      <c r="F19" s="11"/>
      <c r="G19" s="11"/>
    </row>
    <row r="20" spans="1:7" ht="14.25" x14ac:dyDescent="0.45">
      <c r="A20" s="10" t="s">
        <v>38</v>
      </c>
      <c r="B20" s="10" t="s">
        <v>39</v>
      </c>
      <c r="C20" s="12">
        <v>55.554499999999997</v>
      </c>
      <c r="D20" s="12">
        <v>50.965699999999998</v>
      </c>
      <c r="E20" s="12">
        <v>76.5779</v>
      </c>
      <c r="F20" s="12">
        <v>67.725899999999996</v>
      </c>
      <c r="G20" s="12">
        <v>76.380300000000005</v>
      </c>
    </row>
    <row r="21" spans="1:7" ht="15.75" customHeight="1" x14ac:dyDescent="0.45">
      <c r="A21" s="10" t="s">
        <v>40</v>
      </c>
      <c r="B21" s="10" t="s">
        <v>41</v>
      </c>
      <c r="C21" s="12">
        <v>-3.5897999999999999</v>
      </c>
      <c r="D21" s="12">
        <v>-4.7957999999999998</v>
      </c>
      <c r="E21" s="12">
        <v>-13.4984</v>
      </c>
      <c r="F21" s="12">
        <v>-13.402799999999999</v>
      </c>
      <c r="G21" s="12">
        <v>1.2892999999999999</v>
      </c>
    </row>
    <row r="22" spans="1:7" ht="15.75" customHeight="1" x14ac:dyDescent="0.45">
      <c r="A22" s="10" t="s">
        <v>42</v>
      </c>
      <c r="B22" s="10" t="s">
        <v>43</v>
      </c>
      <c r="C22" s="12">
        <v>416.35169999999999</v>
      </c>
      <c r="D22" s="12">
        <v>369.72309999999999</v>
      </c>
      <c r="E22" s="12">
        <v>504.9812</v>
      </c>
      <c r="F22" s="12">
        <v>472.21370000000002</v>
      </c>
      <c r="G22" s="12">
        <v>461.06240000000003</v>
      </c>
    </row>
    <row r="23" spans="1:7" ht="15.75" customHeight="1" x14ac:dyDescent="0.45">
      <c r="A23" s="10" t="s">
        <v>44</v>
      </c>
      <c r="B23" s="10" t="s">
        <v>45</v>
      </c>
      <c r="C23" s="12">
        <v>-2.98</v>
      </c>
      <c r="D23" s="12">
        <v>5.0789</v>
      </c>
      <c r="E23" s="12">
        <v>4.2481999999999998</v>
      </c>
      <c r="F23" s="12">
        <v>0.91569999999999996</v>
      </c>
      <c r="G23" s="12">
        <v>11.584099999999999</v>
      </c>
    </row>
    <row r="24" spans="1:7" ht="15.75" customHeight="1" x14ac:dyDescent="0.45">
      <c r="A24" s="10" t="s">
        <v>46</v>
      </c>
      <c r="B24" s="11"/>
      <c r="C24" s="11"/>
      <c r="D24" s="11"/>
      <c r="E24" s="11"/>
      <c r="F24" s="11"/>
      <c r="G24" s="11"/>
    </row>
    <row r="25" spans="1:7" ht="15.75" customHeight="1" x14ac:dyDescent="0.45">
      <c r="A25" s="10" t="s">
        <v>47</v>
      </c>
      <c r="B25" s="10" t="s">
        <v>48</v>
      </c>
      <c r="C25" s="12" t="s">
        <v>30</v>
      </c>
      <c r="D25" s="12" t="s">
        <v>30</v>
      </c>
      <c r="E25" s="12" t="s">
        <v>30</v>
      </c>
      <c r="F25" s="12" t="s">
        <v>30</v>
      </c>
      <c r="G25" s="12">
        <v>-0.1593</v>
      </c>
    </row>
    <row r="26" spans="1:7" ht="15.75" customHeight="1" x14ac:dyDescent="0.45">
      <c r="A26" s="10" t="s">
        <v>49</v>
      </c>
      <c r="B26" s="10" t="s">
        <v>50</v>
      </c>
      <c r="C26" s="14">
        <v>0.48</v>
      </c>
      <c r="D26" s="14">
        <v>0.48</v>
      </c>
      <c r="E26" s="14">
        <v>0.48</v>
      </c>
      <c r="F26" s="14">
        <v>0.48</v>
      </c>
      <c r="G26" s="14">
        <v>0.48</v>
      </c>
    </row>
    <row r="27" spans="1:7" ht="15.75" customHeight="1" x14ac:dyDescent="0.45">
      <c r="A27" s="10" t="s">
        <v>51</v>
      </c>
      <c r="B27" s="10" t="s">
        <v>52</v>
      </c>
      <c r="C27" s="14">
        <v>1.51</v>
      </c>
      <c r="D27" s="14">
        <v>1.36</v>
      </c>
      <c r="E27" s="14">
        <v>1.84</v>
      </c>
      <c r="F27" s="14">
        <v>1.77</v>
      </c>
      <c r="G27" s="14" t="s">
        <v>30</v>
      </c>
    </row>
    <row r="28" spans="1:7" ht="15.75" customHeight="1" x14ac:dyDescent="0.45">
      <c r="A28" s="10" t="s">
        <v>53</v>
      </c>
      <c r="B28" s="10" t="s">
        <v>54</v>
      </c>
      <c r="C28" s="12" t="s">
        <v>30</v>
      </c>
      <c r="D28" s="12" t="s">
        <v>30</v>
      </c>
      <c r="E28" s="12" t="s">
        <v>30</v>
      </c>
      <c r="F28" s="12" t="s">
        <v>30</v>
      </c>
      <c r="G28" s="12" t="s">
        <v>30</v>
      </c>
    </row>
    <row r="29" spans="1:7" ht="15.75" customHeight="1" x14ac:dyDescent="0.45">
      <c r="A29" s="10" t="s">
        <v>55</v>
      </c>
      <c r="B29" s="10" t="s">
        <v>56</v>
      </c>
      <c r="C29" s="14">
        <v>1.5</v>
      </c>
      <c r="D29" s="14">
        <v>1.36</v>
      </c>
      <c r="E29" s="14">
        <v>1.84</v>
      </c>
      <c r="F29" s="14">
        <v>1.76</v>
      </c>
      <c r="G29" s="14" t="s">
        <v>30</v>
      </c>
    </row>
    <row r="30" spans="1:7" ht="15.75" customHeight="1" x14ac:dyDescent="0.45">
      <c r="A30" s="10" t="s">
        <v>57</v>
      </c>
      <c r="B30" s="10" t="s">
        <v>58</v>
      </c>
      <c r="C30" s="12" t="s">
        <v>30</v>
      </c>
      <c r="D30" s="12" t="s">
        <v>30</v>
      </c>
      <c r="E30" s="12" t="s">
        <v>30</v>
      </c>
      <c r="F30" s="12" t="s">
        <v>30</v>
      </c>
      <c r="G30" s="12" t="s">
        <v>30</v>
      </c>
    </row>
    <row r="31" spans="1:7" ht="15.75" customHeight="1" x14ac:dyDescent="0.45">
      <c r="A31" s="10" t="s">
        <v>59</v>
      </c>
      <c r="B31" s="10" t="s">
        <v>60</v>
      </c>
      <c r="C31" s="12">
        <v>360.79719999999998</v>
      </c>
      <c r="D31" s="12">
        <v>318.75740000000002</v>
      </c>
      <c r="E31" s="12">
        <v>428.4033</v>
      </c>
      <c r="F31" s="12">
        <v>404.48770000000002</v>
      </c>
      <c r="G31" s="12">
        <v>384.84140000000002</v>
      </c>
    </row>
    <row r="32" spans="1:7" ht="15.75" customHeight="1" x14ac:dyDescent="0.45">
      <c r="A32" s="10" t="s">
        <v>61</v>
      </c>
      <c r="B32" s="10" t="s">
        <v>62</v>
      </c>
      <c r="C32" s="12">
        <v>360.79719999999998</v>
      </c>
      <c r="D32" s="12">
        <v>318.75740000000002</v>
      </c>
      <c r="E32" s="12">
        <v>428.4033</v>
      </c>
      <c r="F32" s="12">
        <v>404.48770000000002</v>
      </c>
      <c r="G32" s="12">
        <v>384.68209999999999</v>
      </c>
    </row>
    <row r="33" spans="1:7" ht="15.75" customHeight="1" x14ac:dyDescent="0.45">
      <c r="A33" s="10" t="s">
        <v>63</v>
      </c>
      <c r="B33" s="10" t="s">
        <v>64</v>
      </c>
      <c r="C33" s="12">
        <v>360.79719999999998</v>
      </c>
      <c r="D33" s="12">
        <v>318.75740000000002</v>
      </c>
      <c r="E33" s="12">
        <v>428.4033</v>
      </c>
      <c r="F33" s="12">
        <v>404.48770000000002</v>
      </c>
      <c r="G33" s="12">
        <v>384.84140000000002</v>
      </c>
    </row>
    <row r="34" spans="1:7" ht="15.75" customHeight="1" x14ac:dyDescent="0.45">
      <c r="A34" s="8" t="s">
        <v>65</v>
      </c>
      <c r="B34" s="8" t="s">
        <v>66</v>
      </c>
      <c r="C34" s="13">
        <v>360.79719999999998</v>
      </c>
      <c r="D34" s="13">
        <v>318.75740000000002</v>
      </c>
      <c r="E34" s="13">
        <v>428.4033</v>
      </c>
      <c r="F34" s="13">
        <v>404.48770000000002</v>
      </c>
      <c r="G34" s="13">
        <v>384.84140000000002</v>
      </c>
    </row>
    <row r="35" spans="1:7" ht="15.75" customHeight="1" x14ac:dyDescent="0.45">
      <c r="A35" s="10" t="s">
        <v>67</v>
      </c>
      <c r="B35" s="11"/>
      <c r="C35" s="11"/>
      <c r="D35" s="11"/>
      <c r="E35" s="11"/>
      <c r="F35" s="11"/>
      <c r="G35" s="11"/>
    </row>
    <row r="36" spans="1:7" ht="15.75" customHeight="1" x14ac:dyDescent="0.45">
      <c r="A36" s="10" t="s">
        <v>68</v>
      </c>
      <c r="B36" s="10" t="s">
        <v>69</v>
      </c>
      <c r="C36" s="12" t="s">
        <v>30</v>
      </c>
      <c r="D36" s="12">
        <v>-4.9527999999999999</v>
      </c>
      <c r="E36" s="12">
        <v>-0.50249999999999995</v>
      </c>
      <c r="F36" s="12">
        <v>-1.2829999999999999</v>
      </c>
      <c r="G36" s="12">
        <v>5.5073999999999996</v>
      </c>
    </row>
    <row r="37" spans="1:7" ht="15.75" customHeight="1" x14ac:dyDescent="0.45">
      <c r="A37" s="10" t="s">
        <v>70</v>
      </c>
      <c r="B37" s="10" t="s">
        <v>71</v>
      </c>
      <c r="C37" s="12" t="s">
        <v>30</v>
      </c>
      <c r="D37" s="12">
        <v>-14.0726</v>
      </c>
      <c r="E37" s="12">
        <v>10.238300000000001</v>
      </c>
      <c r="F37" s="12">
        <v>1.8110999999999999</v>
      </c>
      <c r="G37" s="12">
        <v>2.4540000000000002</v>
      </c>
    </row>
    <row r="38" spans="1:7" ht="15.75" customHeight="1" x14ac:dyDescent="0.45">
      <c r="A38" s="10" t="s">
        <v>72</v>
      </c>
      <c r="B38" s="10" t="s">
        <v>73</v>
      </c>
      <c r="C38" s="12" t="s">
        <v>30</v>
      </c>
      <c r="D38" s="12">
        <v>2.9552</v>
      </c>
      <c r="E38" s="12">
        <v>-2.1501000000000001</v>
      </c>
      <c r="F38" s="12">
        <v>-0.38030000000000003</v>
      </c>
      <c r="G38" s="12">
        <v>-0.31090000000000001</v>
      </c>
    </row>
    <row r="39" spans="1:7" ht="15.75" customHeight="1" x14ac:dyDescent="0.45">
      <c r="A39" s="10" t="s">
        <v>74</v>
      </c>
      <c r="B39" s="10" t="s">
        <v>75</v>
      </c>
      <c r="C39" s="12" t="s">
        <v>30</v>
      </c>
      <c r="D39" s="12" t="s">
        <v>30</v>
      </c>
      <c r="E39" s="12" t="s">
        <v>30</v>
      </c>
      <c r="F39" s="12" t="s">
        <v>30</v>
      </c>
      <c r="G39" s="12">
        <v>-0.97340000000000004</v>
      </c>
    </row>
    <row r="40" spans="1:7" ht="15.75" customHeight="1" x14ac:dyDescent="0.45">
      <c r="A40" s="10" t="s">
        <v>76</v>
      </c>
      <c r="B40" s="10" t="s">
        <v>77</v>
      </c>
      <c r="C40" s="12" t="s">
        <v>30</v>
      </c>
      <c r="D40" s="12">
        <v>302.68720000000002</v>
      </c>
      <c r="E40" s="12">
        <v>435.98910000000001</v>
      </c>
      <c r="F40" s="12">
        <v>404.63549999999998</v>
      </c>
      <c r="G40" s="12">
        <v>391.51850000000002</v>
      </c>
    </row>
    <row r="41" spans="1:7" ht="15.75" customHeight="1" x14ac:dyDescent="0.45">
      <c r="A41" s="10" t="s">
        <v>78</v>
      </c>
      <c r="B41" s="10" t="s">
        <v>79</v>
      </c>
      <c r="C41" s="12" t="s">
        <v>30</v>
      </c>
      <c r="D41" s="12">
        <v>318.75740000000002</v>
      </c>
      <c r="E41" s="12">
        <v>428.4033</v>
      </c>
      <c r="F41" s="12">
        <v>404.48770000000002</v>
      </c>
      <c r="G41" s="12">
        <v>384.68209999999999</v>
      </c>
    </row>
    <row r="42" spans="1:7" ht="15.75" customHeight="1" x14ac:dyDescent="0.45">
      <c r="A42" s="10" t="s">
        <v>78</v>
      </c>
      <c r="B42" s="10" t="s">
        <v>80</v>
      </c>
      <c r="C42" s="12">
        <v>360.79719999999998</v>
      </c>
      <c r="D42" s="12">
        <v>318.75740000000002</v>
      </c>
      <c r="E42" s="12">
        <v>428.4033</v>
      </c>
      <c r="F42" s="12">
        <v>404.48770000000002</v>
      </c>
      <c r="G42" s="12">
        <v>384.68209999999999</v>
      </c>
    </row>
    <row r="43" spans="1:7" ht="15.75" customHeight="1" x14ac:dyDescent="0.45">
      <c r="A43" s="10" t="s">
        <v>81</v>
      </c>
      <c r="B43" s="11"/>
      <c r="C43" s="11"/>
      <c r="D43" s="11"/>
      <c r="E43" s="11"/>
      <c r="F43" s="11"/>
      <c r="G43" s="11"/>
    </row>
    <row r="44" spans="1:7" ht="15.75" customHeight="1" x14ac:dyDescent="0.45">
      <c r="A44" s="10" t="s">
        <v>82</v>
      </c>
      <c r="B44" s="11"/>
      <c r="C44" s="11"/>
      <c r="D44" s="11"/>
      <c r="E44" s="11"/>
      <c r="F44" s="11"/>
      <c r="G44" s="11"/>
    </row>
    <row r="45" spans="1:7" ht="15.75" customHeight="1" x14ac:dyDescent="0.45">
      <c r="A45" s="10" t="s">
        <v>83</v>
      </c>
      <c r="B45" s="10" t="s">
        <v>84</v>
      </c>
      <c r="C45" s="12">
        <v>22.2</v>
      </c>
      <c r="D45" s="12">
        <v>21.7</v>
      </c>
      <c r="E45" s="12">
        <v>19.7</v>
      </c>
      <c r="F45" s="12">
        <v>17.899999999999999</v>
      </c>
      <c r="G45" s="12">
        <v>15.3</v>
      </c>
    </row>
    <row r="46" spans="1:7" ht="15.75" customHeight="1" x14ac:dyDescent="0.45">
      <c r="A46" s="10" t="s">
        <v>85</v>
      </c>
      <c r="B46" s="10" t="s">
        <v>86</v>
      </c>
      <c r="C46" s="12">
        <v>76.8</v>
      </c>
      <c r="D46" s="12">
        <v>74.900000000000006</v>
      </c>
      <c r="E46" s="12">
        <v>73.599999999999994</v>
      </c>
      <c r="F46" s="12">
        <v>76.8</v>
      </c>
      <c r="G46" s="12">
        <v>88.8</v>
      </c>
    </row>
    <row r="47" spans="1:7" ht="15.75" customHeight="1" x14ac:dyDescent="0.45">
      <c r="A47" s="10" t="s">
        <v>87</v>
      </c>
      <c r="B47" s="10" t="s">
        <v>88</v>
      </c>
      <c r="C47" s="12">
        <v>92.162199999999999</v>
      </c>
      <c r="D47" s="12">
        <v>106.49930000000001</v>
      </c>
      <c r="E47" s="12">
        <v>112.5393</v>
      </c>
      <c r="F47" s="12">
        <v>121.02370000000001</v>
      </c>
      <c r="G47" s="12">
        <v>177.86869999999999</v>
      </c>
    </row>
    <row r="48" spans="1:7" ht="15.75" customHeight="1" x14ac:dyDescent="0.45">
      <c r="A48" s="10" t="s">
        <v>89</v>
      </c>
      <c r="B48" s="10" t="s">
        <v>90</v>
      </c>
      <c r="C48" s="12">
        <v>99.111999999999995</v>
      </c>
      <c r="D48" s="12">
        <v>96.568399999999997</v>
      </c>
      <c r="E48" s="12">
        <v>93.321200000000005</v>
      </c>
      <c r="F48" s="12">
        <v>94.714699999999993</v>
      </c>
      <c r="G48" s="12">
        <v>104.04179999999999</v>
      </c>
    </row>
    <row r="49" spans="1:7" ht="15.75" customHeight="1" x14ac:dyDescent="0.45">
      <c r="A49" s="10" t="s">
        <v>91</v>
      </c>
      <c r="B49" s="10" t="s">
        <v>92</v>
      </c>
      <c r="C49" s="12" t="s">
        <v>30</v>
      </c>
      <c r="D49" s="12" t="s">
        <v>30</v>
      </c>
      <c r="E49" s="12" t="s">
        <v>30</v>
      </c>
      <c r="F49" s="12" t="s">
        <v>30</v>
      </c>
      <c r="G49" s="12" t="s">
        <v>30</v>
      </c>
    </row>
    <row r="50" spans="1:7" ht="15.75" customHeight="1" x14ac:dyDescent="0.45">
      <c r="A50" s="10" t="s">
        <v>93</v>
      </c>
      <c r="B50" s="10" t="s">
        <v>94</v>
      </c>
      <c r="C50" s="12">
        <v>-0.25779999999999997</v>
      </c>
      <c r="D50" s="12" t="s">
        <v>30</v>
      </c>
      <c r="E50" s="12">
        <v>8.7800000000000003E-2</v>
      </c>
      <c r="F50" s="12">
        <v>-1.2047000000000001</v>
      </c>
      <c r="G50" s="12">
        <v>-2.8881000000000001</v>
      </c>
    </row>
    <row r="51" spans="1:7" ht="15.75" customHeight="1" x14ac:dyDescent="0.45">
      <c r="A51" s="10" t="s">
        <v>31</v>
      </c>
      <c r="B51" s="10" t="s">
        <v>95</v>
      </c>
      <c r="C51" s="12" t="s">
        <v>30</v>
      </c>
      <c r="D51" s="12" t="s">
        <v>30</v>
      </c>
      <c r="E51" s="12" t="s">
        <v>30</v>
      </c>
      <c r="F51" s="12">
        <v>8.8646999999999991</v>
      </c>
      <c r="G51" s="12">
        <v>0</v>
      </c>
    </row>
    <row r="52" spans="1:7" ht="15.75" customHeight="1" x14ac:dyDescent="0.45">
      <c r="A52" s="10" t="s">
        <v>96</v>
      </c>
      <c r="B52" s="10" t="s">
        <v>97</v>
      </c>
      <c r="C52" s="12" t="s">
        <v>30</v>
      </c>
      <c r="D52" s="12" t="s">
        <v>30</v>
      </c>
      <c r="E52" s="12" t="s">
        <v>30</v>
      </c>
      <c r="F52" s="12" t="s">
        <v>30</v>
      </c>
      <c r="G52" s="12" t="s">
        <v>30</v>
      </c>
    </row>
    <row r="53" spans="1:7" ht="15.75" customHeight="1" x14ac:dyDescent="0.45">
      <c r="A53" s="10" t="s">
        <v>38</v>
      </c>
      <c r="B53" s="10" t="s">
        <v>98</v>
      </c>
      <c r="C53" s="12">
        <v>55.554499999999997</v>
      </c>
      <c r="D53" s="12">
        <v>50.965699999999998</v>
      </c>
      <c r="E53" s="12">
        <v>76.5779</v>
      </c>
      <c r="F53" s="12">
        <v>67.725899999999996</v>
      </c>
      <c r="G53" s="12">
        <v>76.380300000000005</v>
      </c>
    </row>
    <row r="54" spans="1:7" ht="15.75" customHeight="1" x14ac:dyDescent="0.45">
      <c r="A54" s="10" t="s">
        <v>68</v>
      </c>
      <c r="B54" s="10" t="s">
        <v>99</v>
      </c>
      <c r="C54" s="12">
        <v>0.1515</v>
      </c>
      <c r="D54" s="12">
        <v>-4.9527999999999999</v>
      </c>
      <c r="E54" s="12">
        <v>-0.50249999999999995</v>
      </c>
      <c r="F54" s="12">
        <v>-1.2829999999999999</v>
      </c>
      <c r="G54" s="12">
        <v>5.5073999999999996</v>
      </c>
    </row>
    <row r="55" spans="1:7" ht="15.75" customHeight="1" x14ac:dyDescent="0.45">
      <c r="A55" s="10" t="s">
        <v>70</v>
      </c>
      <c r="B55" s="10" t="s">
        <v>100</v>
      </c>
      <c r="C55" s="12">
        <v>-6.4245000000000001</v>
      </c>
      <c r="D55" s="12">
        <v>-14.0726</v>
      </c>
      <c r="E55" s="12">
        <v>10.238300000000001</v>
      </c>
      <c r="F55" s="12">
        <v>1.8110999999999999</v>
      </c>
      <c r="G55" s="12">
        <v>2.4540000000000002</v>
      </c>
    </row>
    <row r="56" spans="1:7" ht="15.75" customHeight="1" x14ac:dyDescent="0.45">
      <c r="A56" s="10" t="s">
        <v>101</v>
      </c>
      <c r="B56" s="10" t="s">
        <v>102</v>
      </c>
      <c r="C56" s="12" t="s">
        <v>30</v>
      </c>
      <c r="D56" s="12" t="s">
        <v>30</v>
      </c>
      <c r="E56" s="12" t="s">
        <v>30</v>
      </c>
      <c r="F56" s="12" t="s">
        <v>30</v>
      </c>
      <c r="G56" s="12" t="s">
        <v>30</v>
      </c>
    </row>
    <row r="57" spans="1:7" ht="15.75" customHeight="1" x14ac:dyDescent="0.45">
      <c r="A57" s="10" t="s">
        <v>103</v>
      </c>
      <c r="B57" s="10" t="s">
        <v>104</v>
      </c>
      <c r="C57" s="12">
        <v>1.3491</v>
      </c>
      <c r="D57" s="12">
        <v>2.9552</v>
      </c>
      <c r="E57" s="12">
        <v>-2.1501000000000001</v>
      </c>
      <c r="F57" s="12">
        <v>-0.38030000000000003</v>
      </c>
      <c r="G57" s="12">
        <v>-0.31090000000000001</v>
      </c>
    </row>
    <row r="58" spans="1:7" ht="15.75" customHeight="1" x14ac:dyDescent="0.45">
      <c r="A58" s="10" t="s">
        <v>74</v>
      </c>
      <c r="B58" s="10" t="s">
        <v>105</v>
      </c>
      <c r="C58" s="12" t="s">
        <v>30</v>
      </c>
      <c r="D58" s="12" t="s">
        <v>30</v>
      </c>
      <c r="E58" s="12" t="s">
        <v>30</v>
      </c>
      <c r="F58" s="12" t="s">
        <v>30</v>
      </c>
      <c r="G58" s="12">
        <v>-0.97340000000000004</v>
      </c>
    </row>
    <row r="59" spans="1:7" ht="15.75" customHeight="1" x14ac:dyDescent="0.45">
      <c r="A59" s="10" t="s">
        <v>106</v>
      </c>
      <c r="B59" s="10" t="s">
        <v>107</v>
      </c>
      <c r="C59" s="12">
        <v>114.41540000000001</v>
      </c>
      <c r="D59" s="12">
        <v>112.8193</v>
      </c>
      <c r="E59" s="12">
        <v>111.8244</v>
      </c>
      <c r="F59" s="12" t="s">
        <v>30</v>
      </c>
      <c r="G59" s="12" t="s">
        <v>30</v>
      </c>
    </row>
    <row r="60" spans="1:7" ht="15.75" customHeight="1" x14ac:dyDescent="0.45">
      <c r="A60" s="10" t="s">
        <v>49</v>
      </c>
      <c r="B60" s="10" t="s">
        <v>108</v>
      </c>
      <c r="C60" s="14">
        <v>0.48</v>
      </c>
      <c r="D60" s="14">
        <v>0.48</v>
      </c>
      <c r="E60" s="14">
        <v>0.48</v>
      </c>
      <c r="F60" s="14">
        <v>0.48</v>
      </c>
      <c r="G60" s="14">
        <v>0.48</v>
      </c>
    </row>
    <row r="61" spans="1:7" ht="15.75" customHeight="1" x14ac:dyDescent="0.45">
      <c r="A61" s="10" t="s">
        <v>51</v>
      </c>
      <c r="B61" s="10" t="s">
        <v>109</v>
      </c>
      <c r="C61" s="14">
        <v>1.51</v>
      </c>
      <c r="D61" s="14">
        <v>1.36</v>
      </c>
      <c r="E61" s="14">
        <v>1.84</v>
      </c>
      <c r="F61" s="14">
        <v>1.77</v>
      </c>
      <c r="G61" s="14" t="s">
        <v>30</v>
      </c>
    </row>
    <row r="62" spans="1:7" ht="15.75" customHeight="1" x14ac:dyDescent="0.45">
      <c r="A62" s="10" t="s">
        <v>53</v>
      </c>
      <c r="B62" s="10" t="s">
        <v>110</v>
      </c>
      <c r="C62" s="12" t="s">
        <v>30</v>
      </c>
      <c r="D62" s="12">
        <v>230.8253</v>
      </c>
      <c r="E62" s="12">
        <v>229.40549999999999</v>
      </c>
      <c r="F62" s="12">
        <v>225.7107</v>
      </c>
      <c r="G62" s="12">
        <v>217.83420000000001</v>
      </c>
    </row>
    <row r="63" spans="1:7" ht="15.75" customHeight="1" x14ac:dyDescent="0.45">
      <c r="A63" s="10" t="s">
        <v>55</v>
      </c>
      <c r="B63" s="10" t="s">
        <v>111</v>
      </c>
      <c r="C63" s="14">
        <v>1.5</v>
      </c>
      <c r="D63" s="14">
        <v>1.36</v>
      </c>
      <c r="E63" s="14">
        <v>1.84</v>
      </c>
      <c r="F63" s="14">
        <v>1.76</v>
      </c>
      <c r="G63" s="14" t="s">
        <v>30</v>
      </c>
    </row>
    <row r="64" spans="1:7" ht="15.75" customHeight="1" x14ac:dyDescent="0.45">
      <c r="A64" s="10" t="s">
        <v>57</v>
      </c>
      <c r="B64" s="10" t="s">
        <v>112</v>
      </c>
      <c r="C64" s="12" t="s">
        <v>30</v>
      </c>
      <c r="D64" s="12">
        <v>231.21950000000001</v>
      </c>
      <c r="E64" s="12">
        <v>229.72020000000001</v>
      </c>
      <c r="F64" s="12">
        <v>226.02350000000001</v>
      </c>
      <c r="G64" s="12">
        <v>217.84870000000001</v>
      </c>
    </row>
    <row r="65" spans="1:7" ht="15.75" customHeight="1" x14ac:dyDescent="0.45">
      <c r="A65" s="10" t="s">
        <v>113</v>
      </c>
      <c r="B65" s="10" t="s">
        <v>114</v>
      </c>
      <c r="C65" s="12">
        <v>27.421600000000002</v>
      </c>
      <c r="D65" s="12">
        <v>30.2286</v>
      </c>
      <c r="E65" s="12">
        <v>39.197400000000002</v>
      </c>
      <c r="F65" s="12">
        <v>39.539400000000001</v>
      </c>
      <c r="G65" s="12">
        <v>36.649799999999999</v>
      </c>
    </row>
    <row r="66" spans="1:7" ht="15.75" customHeight="1" x14ac:dyDescent="0.45">
      <c r="A66" s="10" t="s">
        <v>76</v>
      </c>
      <c r="B66" s="10" t="s">
        <v>115</v>
      </c>
      <c r="C66" s="12">
        <v>355.8734</v>
      </c>
      <c r="D66" s="12">
        <v>302.68720000000002</v>
      </c>
      <c r="E66" s="12">
        <v>435.98910000000001</v>
      </c>
      <c r="F66" s="12">
        <v>404.63549999999998</v>
      </c>
      <c r="G66" s="12">
        <v>391.51850000000002</v>
      </c>
    </row>
    <row r="67" spans="1:7" ht="15.75" customHeight="1" x14ac:dyDescent="0.45">
      <c r="A67" s="10" t="s">
        <v>116</v>
      </c>
      <c r="B67" s="10" t="s">
        <v>117</v>
      </c>
      <c r="C67" s="12" t="s">
        <v>30</v>
      </c>
      <c r="D67" s="12">
        <v>21.7</v>
      </c>
      <c r="E67" s="12">
        <v>19.7</v>
      </c>
      <c r="F67" s="12">
        <v>17.899999999999999</v>
      </c>
      <c r="G67" s="12">
        <v>15.3</v>
      </c>
    </row>
    <row r="68" spans="1:7" ht="15.75" customHeight="1" x14ac:dyDescent="0.45">
      <c r="A68" s="10" t="s">
        <v>118</v>
      </c>
      <c r="B68" s="10" t="s">
        <v>119</v>
      </c>
      <c r="C68" s="12">
        <v>-1.0720000000000001</v>
      </c>
      <c r="D68" s="12" t="s">
        <v>30</v>
      </c>
      <c r="E68" s="12">
        <v>5.9847000000000001</v>
      </c>
      <c r="F68" s="12">
        <v>4.6257000000000001</v>
      </c>
      <c r="G68" s="12">
        <v>4.4400000000000004</v>
      </c>
    </row>
    <row r="69" spans="1:7" ht="15.75" customHeight="1" x14ac:dyDescent="0.45">
      <c r="A69" s="10" t="s">
        <v>120</v>
      </c>
      <c r="B69" s="10" t="s">
        <v>121</v>
      </c>
      <c r="C69" s="12">
        <v>97.249300000000005</v>
      </c>
      <c r="D69" s="12">
        <v>68.743499999999997</v>
      </c>
      <c r="E69" s="12">
        <v>94.313000000000002</v>
      </c>
      <c r="F69" s="12">
        <v>80.147400000000005</v>
      </c>
      <c r="G69" s="12">
        <v>94.786600000000007</v>
      </c>
    </row>
    <row r="70" spans="1:7" ht="15.75" customHeight="1" x14ac:dyDescent="0.45">
      <c r="A70" s="10" t="s">
        <v>122</v>
      </c>
      <c r="B70" s="10" t="s">
        <v>123</v>
      </c>
      <c r="C70" s="12" t="s">
        <v>30</v>
      </c>
      <c r="D70" s="12">
        <v>318.75740000000002</v>
      </c>
      <c r="E70" s="12">
        <v>428.4033</v>
      </c>
      <c r="F70" s="12">
        <v>404.48770000000002</v>
      </c>
      <c r="G70" s="12">
        <v>384.84140000000002</v>
      </c>
    </row>
    <row r="71" spans="1:7" ht="15.75" customHeight="1" x14ac:dyDescent="0.45">
      <c r="A71" s="10" t="s">
        <v>124</v>
      </c>
      <c r="B71" s="10" t="s">
        <v>125</v>
      </c>
      <c r="C71" s="14">
        <v>13.3</v>
      </c>
      <c r="D71" s="14">
        <v>13.8</v>
      </c>
      <c r="E71" s="14">
        <v>15.2</v>
      </c>
      <c r="F71" s="14">
        <v>14.3</v>
      </c>
      <c r="G71" s="14">
        <v>16.600000000000001</v>
      </c>
    </row>
    <row r="72" spans="1:7" ht="15.75" customHeight="1" x14ac:dyDescent="0.45">
      <c r="A72" s="10" t="s">
        <v>126</v>
      </c>
      <c r="B72" s="10" t="s">
        <v>127</v>
      </c>
      <c r="C72" s="12">
        <v>0.67889999999999995</v>
      </c>
      <c r="D72" s="12">
        <v>0.63249999999999995</v>
      </c>
      <c r="E72" s="12">
        <v>0.7319</v>
      </c>
      <c r="F72" s="12">
        <v>0.79090000000000005</v>
      </c>
      <c r="G72" s="12" t="s">
        <v>30</v>
      </c>
    </row>
    <row r="73" spans="1:7" ht="15.75" customHeight="1" x14ac:dyDescent="0.45">
      <c r="A73" s="10" t="s">
        <v>128</v>
      </c>
      <c r="B73" s="10" t="s">
        <v>129</v>
      </c>
      <c r="C73" s="12">
        <v>0.54500000000000004</v>
      </c>
      <c r="D73" s="12">
        <v>0.63249999999999995</v>
      </c>
      <c r="E73" s="12">
        <v>0.7319</v>
      </c>
      <c r="F73" s="12">
        <v>0.79090000000000005</v>
      </c>
      <c r="G73" s="12" t="s">
        <v>30</v>
      </c>
    </row>
    <row r="74" spans="1:7" ht="15.75" customHeight="1" x14ac:dyDescent="0.45">
      <c r="A74" s="10" t="s">
        <v>130</v>
      </c>
      <c r="B74" s="10" t="s">
        <v>131</v>
      </c>
      <c r="C74" s="12">
        <v>0.13389999999999999</v>
      </c>
      <c r="D74" s="12">
        <v>0</v>
      </c>
      <c r="E74" s="12">
        <v>0</v>
      </c>
      <c r="F74" s="12">
        <v>0</v>
      </c>
      <c r="G74" s="12" t="s">
        <v>30</v>
      </c>
    </row>
    <row r="75" spans="1:7" ht="15.75" customHeight="1" x14ac:dyDescent="0.45">
      <c r="A75" s="10" t="s">
        <v>132</v>
      </c>
      <c r="B75" s="10" t="s">
        <v>133</v>
      </c>
      <c r="C75" s="12" t="s">
        <v>30</v>
      </c>
      <c r="D75" s="12" t="s">
        <v>30</v>
      </c>
      <c r="E75" s="12" t="s">
        <v>30</v>
      </c>
      <c r="F75" s="12" t="s">
        <v>30</v>
      </c>
      <c r="G75" s="12">
        <v>384.84140000000002</v>
      </c>
    </row>
    <row r="76" spans="1:7" ht="15.75" customHeight="1" x14ac:dyDescent="0.45">
      <c r="A76" s="10" t="s">
        <v>134</v>
      </c>
      <c r="B76" s="10" t="s">
        <v>135</v>
      </c>
      <c r="C76" s="14">
        <v>21</v>
      </c>
      <c r="D76" s="14">
        <v>21</v>
      </c>
      <c r="E76" s="14">
        <v>21</v>
      </c>
      <c r="F76" s="14">
        <v>21</v>
      </c>
      <c r="G76" s="14">
        <v>21</v>
      </c>
    </row>
    <row r="77" spans="1:7" ht="15.75" customHeight="1" x14ac:dyDescent="0.45">
      <c r="A77" s="10" t="s">
        <v>136</v>
      </c>
      <c r="B77" s="10" t="s">
        <v>137</v>
      </c>
      <c r="C77" s="12" t="s">
        <v>30</v>
      </c>
      <c r="D77" s="12" t="s">
        <v>30</v>
      </c>
      <c r="E77" s="12" t="s">
        <v>30</v>
      </c>
      <c r="F77" s="12" t="s">
        <v>30</v>
      </c>
      <c r="G77" s="12" t="s">
        <v>30</v>
      </c>
    </row>
    <row r="78" spans="1:7" ht="15.75" customHeight="1" x14ac:dyDescent="0.45">
      <c r="A78" s="10" t="s">
        <v>138</v>
      </c>
      <c r="B78" s="10" t="s">
        <v>139</v>
      </c>
      <c r="C78" s="12" t="s">
        <v>30</v>
      </c>
      <c r="D78" s="12" t="s">
        <v>30</v>
      </c>
      <c r="E78" s="12" t="s">
        <v>30</v>
      </c>
      <c r="F78" s="12" t="s">
        <v>30</v>
      </c>
      <c r="G78" s="12" t="s">
        <v>30</v>
      </c>
    </row>
    <row r="79" spans="1:7" ht="15.75" customHeight="1" x14ac:dyDescent="0.45">
      <c r="A79" s="10" t="s">
        <v>140</v>
      </c>
      <c r="B79" s="10" t="s">
        <v>141</v>
      </c>
      <c r="C79" s="12">
        <v>2.0983999999999998</v>
      </c>
      <c r="D79" s="12">
        <v>1.7617</v>
      </c>
      <c r="E79" s="12">
        <v>2.0914999999999999</v>
      </c>
      <c r="F79" s="12">
        <v>1.931</v>
      </c>
      <c r="G79" s="12">
        <v>2.3683000000000001</v>
      </c>
    </row>
    <row r="80" spans="1:7" ht="15.75" customHeight="1" x14ac:dyDescent="0.45">
      <c r="A80" s="10" t="s">
        <v>142</v>
      </c>
      <c r="B80" s="10" t="s">
        <v>143</v>
      </c>
      <c r="C80" s="12">
        <v>89.507900000000006</v>
      </c>
      <c r="D80" s="12">
        <v>62.670999999999999</v>
      </c>
      <c r="E80" s="12">
        <v>85.978999999999999</v>
      </c>
      <c r="F80" s="12">
        <v>73.538300000000007</v>
      </c>
      <c r="G80" s="12">
        <v>86.632499999999993</v>
      </c>
    </row>
    <row r="81" spans="1:7" ht="15.75" customHeight="1" x14ac:dyDescent="0.45">
      <c r="A81" s="10" t="s">
        <v>144</v>
      </c>
      <c r="B81" s="10" t="s">
        <v>145</v>
      </c>
      <c r="C81" s="12">
        <v>5.6429</v>
      </c>
      <c r="D81" s="12">
        <v>4.3108000000000004</v>
      </c>
      <c r="E81" s="12">
        <v>6.2424999999999997</v>
      </c>
      <c r="F81" s="12">
        <v>4.6779999999999999</v>
      </c>
      <c r="G81" s="12">
        <v>5.7858000000000001</v>
      </c>
    </row>
    <row r="82" spans="1:7" ht="15.75" customHeight="1" x14ac:dyDescent="0.45">
      <c r="A82" s="10" t="s">
        <v>146</v>
      </c>
      <c r="B82" s="10" t="s">
        <v>147</v>
      </c>
      <c r="C82" s="12">
        <v>-41.694800000000001</v>
      </c>
      <c r="D82" s="12">
        <v>-17.777799999999999</v>
      </c>
      <c r="E82" s="12">
        <v>-17.735099999999999</v>
      </c>
      <c r="F82" s="12">
        <v>-12.4214</v>
      </c>
      <c r="G82" s="12">
        <v>-18.406199999999998</v>
      </c>
    </row>
    <row r="83" spans="1:7" ht="15.75" customHeight="1" x14ac:dyDescent="0.45">
      <c r="A83" s="10" t="s">
        <v>148</v>
      </c>
      <c r="B83" s="10" t="s">
        <v>149</v>
      </c>
      <c r="C83" s="12" t="s">
        <v>30</v>
      </c>
      <c r="D83" s="12" t="s">
        <v>30</v>
      </c>
      <c r="E83" s="12" t="s">
        <v>30</v>
      </c>
      <c r="F83" s="12" t="s">
        <v>30</v>
      </c>
      <c r="G83" s="12" t="s">
        <v>30</v>
      </c>
    </row>
    <row r="84" spans="1:7" ht="15.75" customHeight="1" x14ac:dyDescent="0.45">
      <c r="A84" s="10" t="s">
        <v>150</v>
      </c>
      <c r="B84" s="10" t="s">
        <v>151</v>
      </c>
      <c r="C84" s="14">
        <v>35.799999999999997</v>
      </c>
      <c r="D84" s="14">
        <v>31.8</v>
      </c>
      <c r="E84" s="14">
        <v>33.200000000000003</v>
      </c>
      <c r="F84" s="14">
        <v>33.299999999999997</v>
      </c>
      <c r="G84" s="14">
        <v>34.200000000000003</v>
      </c>
    </row>
    <row r="85" spans="1:7" ht="15.75" customHeight="1" x14ac:dyDescent="0.45">
      <c r="A85" s="10" t="s">
        <v>152</v>
      </c>
      <c r="B85" s="10" t="s">
        <v>153</v>
      </c>
      <c r="C85" s="14">
        <v>3</v>
      </c>
      <c r="D85" s="14">
        <v>11</v>
      </c>
      <c r="E85" s="14">
        <v>20</v>
      </c>
      <c r="F85" s="14">
        <v>1</v>
      </c>
      <c r="G85" s="14">
        <v>10</v>
      </c>
    </row>
    <row r="86" spans="1:7" ht="15.75" customHeight="1" x14ac:dyDescent="0.45">
      <c r="A86" s="10" t="s">
        <v>154</v>
      </c>
      <c r="B86" s="10" t="s">
        <v>155</v>
      </c>
      <c r="C86" s="12" t="s">
        <v>30</v>
      </c>
      <c r="D86" s="12">
        <v>146.4331</v>
      </c>
      <c r="E86" s="12">
        <v>183.67850000000001</v>
      </c>
      <c r="F86" s="12">
        <v>144.66900000000001</v>
      </c>
      <c r="G86" s="12">
        <v>129.08879999999999</v>
      </c>
    </row>
    <row r="87" spans="1:7" ht="15.75" customHeight="1" x14ac:dyDescent="0.45">
      <c r="A87" s="10" t="s">
        <v>156</v>
      </c>
      <c r="B87" s="10" t="s">
        <v>157</v>
      </c>
      <c r="C87" s="12">
        <v>27.421600000000002</v>
      </c>
      <c r="D87" s="12">
        <v>30.2286</v>
      </c>
      <c r="E87" s="12">
        <v>39.197400000000002</v>
      </c>
      <c r="F87" s="12">
        <v>39.539400000000001</v>
      </c>
      <c r="G87" s="12">
        <v>36.649799999999999</v>
      </c>
    </row>
    <row r="88" spans="1:7" ht="15.75" customHeight="1" x14ac:dyDescent="0.45">
      <c r="A88" s="15" t="s">
        <v>158</v>
      </c>
      <c r="B88" s="15"/>
      <c r="C88" s="15" t="s">
        <v>159</v>
      </c>
      <c r="D88" s="15"/>
      <c r="E88" s="15"/>
      <c r="F88" s="15"/>
      <c r="G88" s="15"/>
    </row>
    <row r="89" spans="1:7" ht="15.75" customHeight="1" x14ac:dyDescent="0.45"/>
    <row r="90" spans="1:7" ht="15.75" customHeight="1" x14ac:dyDescent="0.45"/>
    <row r="91" spans="1:7" ht="15.75" customHeight="1" x14ac:dyDescent="0.45"/>
    <row r="92" spans="1:7" ht="15.75" customHeight="1" x14ac:dyDescent="0.45"/>
    <row r="93" spans="1:7" ht="15.75" customHeight="1" x14ac:dyDescent="0.45"/>
    <row r="94" spans="1:7" ht="15.75" customHeight="1" x14ac:dyDescent="0.45"/>
    <row r="95" spans="1:7" ht="15.75" customHeight="1" x14ac:dyDescent="0.45"/>
    <row r="96" spans="1:7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topLeftCell="A5" zoomScale="197" workbookViewId="0">
      <selection activeCell="C15" sqref="C15"/>
    </sheetView>
  </sheetViews>
  <sheetFormatPr defaultColWidth="14.3984375" defaultRowHeight="15" customHeight="1" x14ac:dyDescent="0.45"/>
  <cols>
    <col min="1" max="1" width="35.1328125" customWidth="1"/>
    <col min="2" max="2" width="8.73046875" hidden="1" customWidth="1"/>
    <col min="3" max="7" width="11.86328125" customWidth="1"/>
    <col min="8" max="26" width="8.73046875" customWidth="1"/>
  </cols>
  <sheetData>
    <row r="1" spans="1:7" ht="14.25" x14ac:dyDescent="0.45">
      <c r="A1" s="1"/>
      <c r="B1" s="1"/>
      <c r="C1" s="1"/>
      <c r="D1" s="1"/>
      <c r="E1" s="1"/>
      <c r="F1" s="1"/>
      <c r="G1" s="1"/>
    </row>
    <row r="2" spans="1:7" ht="20.65" x14ac:dyDescent="0.45">
      <c r="A2" s="2" t="s">
        <v>0</v>
      </c>
      <c r="B2" s="2"/>
      <c r="C2" s="2"/>
      <c r="D2" s="2"/>
      <c r="E2" s="2"/>
      <c r="F2" s="2"/>
      <c r="G2" s="2"/>
    </row>
    <row r="3" spans="1:7" ht="14.25" x14ac:dyDescent="0.45">
      <c r="A3" s="3"/>
      <c r="B3" s="3"/>
      <c r="C3" s="3"/>
      <c r="D3" s="3"/>
      <c r="E3" s="3"/>
      <c r="F3" s="3"/>
      <c r="G3" s="3"/>
    </row>
    <row r="4" spans="1:7" ht="14.25" x14ac:dyDescent="0.45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</row>
    <row r="5" spans="1:7" ht="14.25" x14ac:dyDescent="0.45">
      <c r="A5" s="6" t="s">
        <v>7</v>
      </c>
      <c r="B5" s="6"/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</row>
    <row r="6" spans="1:7" ht="14.25" x14ac:dyDescent="0.45">
      <c r="A6" s="8" t="s">
        <v>408</v>
      </c>
      <c r="B6" s="9"/>
      <c r="C6" s="9"/>
      <c r="D6" s="9"/>
      <c r="E6" s="9"/>
      <c r="F6" s="9"/>
      <c r="G6" s="9"/>
    </row>
    <row r="7" spans="1:7" ht="14.25" x14ac:dyDescent="0.45">
      <c r="A7" s="10" t="s">
        <v>409</v>
      </c>
      <c r="B7" s="11"/>
      <c r="C7" s="11"/>
      <c r="D7" s="11"/>
      <c r="E7" s="11"/>
      <c r="F7" s="11"/>
      <c r="G7" s="11"/>
    </row>
    <row r="8" spans="1:7" ht="14.25" x14ac:dyDescent="0.45">
      <c r="A8" s="10" t="s">
        <v>410</v>
      </c>
      <c r="B8" s="10" t="s">
        <v>411</v>
      </c>
      <c r="C8" s="12">
        <v>360.79719999999998</v>
      </c>
      <c r="D8" s="12">
        <v>318.75740000000002</v>
      </c>
      <c r="E8" s="12">
        <v>428.4033</v>
      </c>
      <c r="F8" s="12">
        <v>404.48770000000002</v>
      </c>
      <c r="G8" s="12">
        <v>384.68209999999999</v>
      </c>
    </row>
    <row r="9" spans="1:7" ht="14.25" x14ac:dyDescent="0.45">
      <c r="A9" s="10" t="s">
        <v>412</v>
      </c>
      <c r="B9" s="10" t="s">
        <v>413</v>
      </c>
      <c r="C9" s="12">
        <v>99.111999999999995</v>
      </c>
      <c r="D9" s="12">
        <v>96.568399999999997</v>
      </c>
      <c r="E9" s="12">
        <v>93.321200000000005</v>
      </c>
      <c r="F9" s="12">
        <v>94.714699999999993</v>
      </c>
      <c r="G9" s="12">
        <v>104.04179999999999</v>
      </c>
    </row>
    <row r="10" spans="1:7" ht="14.25" x14ac:dyDescent="0.45">
      <c r="A10" s="10" t="s">
        <v>414</v>
      </c>
      <c r="B10" s="10" t="s">
        <v>415</v>
      </c>
      <c r="C10" s="12">
        <v>-41.694800000000001</v>
      </c>
      <c r="D10" s="12">
        <v>-17.777799999999999</v>
      </c>
      <c r="E10" s="12">
        <v>-17.735099999999999</v>
      </c>
      <c r="F10" s="12">
        <v>-12.4214</v>
      </c>
      <c r="G10" s="12">
        <v>-18.406199999999998</v>
      </c>
    </row>
    <row r="11" spans="1:7" ht="14.25" x14ac:dyDescent="0.45">
      <c r="A11" s="10" t="s">
        <v>416</v>
      </c>
      <c r="B11" s="10" t="s">
        <v>417</v>
      </c>
      <c r="C11" s="12">
        <v>-0.25779999999999997</v>
      </c>
      <c r="D11" s="12">
        <v>-4.2299999999999997E-2</v>
      </c>
      <c r="E11" s="12">
        <v>8.7800000000000003E-2</v>
      </c>
      <c r="F11" s="12">
        <v>-1.2047000000000001</v>
      </c>
      <c r="G11" s="12">
        <v>-2.8881000000000001</v>
      </c>
    </row>
    <row r="12" spans="1:7" ht="14.25" x14ac:dyDescent="0.45">
      <c r="A12" s="10" t="s">
        <v>418</v>
      </c>
      <c r="B12" s="10" t="s">
        <v>419</v>
      </c>
      <c r="C12" s="12">
        <v>27.421600000000002</v>
      </c>
      <c r="D12" s="12">
        <v>30.2286</v>
      </c>
      <c r="E12" s="12">
        <v>39.197400000000002</v>
      </c>
      <c r="F12" s="12">
        <v>39.539400000000001</v>
      </c>
      <c r="G12" s="12">
        <v>36.649799999999999</v>
      </c>
    </row>
    <row r="13" spans="1:7" ht="14.25" x14ac:dyDescent="0.45">
      <c r="A13" s="10" t="s">
        <v>420</v>
      </c>
      <c r="B13" s="10" t="s">
        <v>421</v>
      </c>
      <c r="C13" s="12">
        <v>-89.9756</v>
      </c>
      <c r="D13" s="12">
        <v>-88.092799999999997</v>
      </c>
      <c r="E13" s="12">
        <v>2.1272000000000002</v>
      </c>
      <c r="F13" s="12">
        <v>-32.624400000000001</v>
      </c>
      <c r="G13" s="12">
        <v>18.138300000000001</v>
      </c>
    </row>
    <row r="14" spans="1:7" ht="14.25" x14ac:dyDescent="0.45">
      <c r="A14" s="10" t="s">
        <v>422</v>
      </c>
      <c r="B14" s="10" t="s">
        <v>423</v>
      </c>
      <c r="C14" s="12">
        <v>7.2663000000000002</v>
      </c>
      <c r="D14" s="12">
        <v>37.423499999999997</v>
      </c>
      <c r="E14" s="12">
        <v>40.951500000000003</v>
      </c>
      <c r="F14" s="12">
        <v>-26.0212</v>
      </c>
      <c r="G14" s="12">
        <v>52.4026</v>
      </c>
    </row>
    <row r="15" spans="1:7" ht="14.25" x14ac:dyDescent="0.45">
      <c r="A15" s="10" t="s">
        <v>424</v>
      </c>
      <c r="B15" s="10" t="s">
        <v>425</v>
      </c>
      <c r="C15" s="12">
        <v>35.135399999999997</v>
      </c>
      <c r="D15" s="12">
        <v>-26.698799999999999</v>
      </c>
      <c r="E15" s="12">
        <v>-45.251100000000001</v>
      </c>
      <c r="F15" s="12">
        <v>27.1067</v>
      </c>
      <c r="G15" s="12">
        <v>-14.615500000000001</v>
      </c>
    </row>
    <row r="16" spans="1:7" ht="14.25" x14ac:dyDescent="0.45">
      <c r="A16" s="10" t="s">
        <v>426</v>
      </c>
      <c r="B16" s="10" t="s">
        <v>427</v>
      </c>
      <c r="C16" s="12">
        <v>-20.242000000000001</v>
      </c>
      <c r="D16" s="12">
        <v>-28.7883</v>
      </c>
      <c r="E16" s="12">
        <v>-4.1018999999999997</v>
      </c>
      <c r="F16" s="12">
        <v>-9.8735999999999997</v>
      </c>
      <c r="G16" s="12">
        <v>0.21460000000000001</v>
      </c>
    </row>
    <row r="17" spans="1:7" ht="14.25" x14ac:dyDescent="0.45">
      <c r="A17" s="10" t="s">
        <v>428</v>
      </c>
      <c r="B17" s="10" t="s">
        <v>429</v>
      </c>
      <c r="C17" s="12">
        <v>-14.322900000000001</v>
      </c>
      <c r="D17" s="12">
        <v>14.9099</v>
      </c>
      <c r="E17" s="12">
        <v>-5.7354000000000003</v>
      </c>
      <c r="F17" s="12">
        <v>1.0196000000000001</v>
      </c>
      <c r="G17" s="12">
        <v>-1.6846000000000001</v>
      </c>
    </row>
    <row r="18" spans="1:7" ht="14.25" x14ac:dyDescent="0.45">
      <c r="A18" s="10" t="s">
        <v>430</v>
      </c>
      <c r="B18" s="10" t="s">
        <v>431</v>
      </c>
      <c r="C18" s="12" t="s">
        <v>30</v>
      </c>
      <c r="D18" s="12" t="s">
        <v>30</v>
      </c>
      <c r="E18" s="12" t="s">
        <v>30</v>
      </c>
      <c r="F18" s="12">
        <v>8.8646999999999991</v>
      </c>
      <c r="G18" s="12">
        <v>14.082000000000001</v>
      </c>
    </row>
    <row r="19" spans="1:7" ht="14.25" x14ac:dyDescent="0.45">
      <c r="A19" s="10" t="s">
        <v>432</v>
      </c>
      <c r="B19" s="10" t="s">
        <v>433</v>
      </c>
      <c r="C19" s="12">
        <v>362.16759999999999</v>
      </c>
      <c r="D19" s="12">
        <v>338.20049999999998</v>
      </c>
      <c r="E19" s="12">
        <v>537.24959999999999</v>
      </c>
      <c r="F19" s="12">
        <v>498.21319999999997</v>
      </c>
      <c r="G19" s="12">
        <v>587.12630000000001</v>
      </c>
    </row>
    <row r="20" spans="1:7" ht="14.25" x14ac:dyDescent="0.45">
      <c r="A20" s="10" t="s">
        <v>434</v>
      </c>
      <c r="B20" s="10" t="s">
        <v>435</v>
      </c>
      <c r="C20" s="12">
        <v>-1.0720000000000001</v>
      </c>
      <c r="D20" s="12">
        <v>1.7129000000000001</v>
      </c>
      <c r="E20" s="12">
        <v>5.9847000000000001</v>
      </c>
      <c r="F20" s="12">
        <v>4.6257000000000001</v>
      </c>
      <c r="G20" s="12">
        <v>14.509600000000001</v>
      </c>
    </row>
    <row r="21" spans="1:7" ht="15.75" customHeight="1" x14ac:dyDescent="0.45">
      <c r="A21" s="10" t="s">
        <v>436</v>
      </c>
      <c r="B21" s="11"/>
      <c r="C21" s="11"/>
      <c r="D21" s="11"/>
      <c r="E21" s="11"/>
      <c r="F21" s="11"/>
      <c r="G21" s="11"/>
    </row>
    <row r="22" spans="1:7" ht="15.75" customHeight="1" x14ac:dyDescent="0.45">
      <c r="A22" s="10" t="s">
        <v>437</v>
      </c>
      <c r="B22" s="10" t="s">
        <v>438</v>
      </c>
      <c r="C22" s="12">
        <v>2.5779000000000001</v>
      </c>
      <c r="D22" s="12">
        <v>0.31390000000000001</v>
      </c>
      <c r="E22" s="12">
        <v>0.29270000000000002</v>
      </c>
      <c r="F22" s="12">
        <v>3.3106</v>
      </c>
      <c r="G22" s="12">
        <v>8.4078999999999997</v>
      </c>
    </row>
    <row r="23" spans="1:7" ht="15.75" customHeight="1" x14ac:dyDescent="0.45">
      <c r="A23" s="10" t="s">
        <v>439</v>
      </c>
      <c r="B23" s="10" t="s">
        <v>440</v>
      </c>
      <c r="C23" s="12">
        <v>-68.834999999999994</v>
      </c>
      <c r="D23" s="12">
        <v>-146.4331</v>
      </c>
      <c r="E23" s="12">
        <v>-183.67850000000001</v>
      </c>
      <c r="F23" s="12">
        <v>-144.66900000000001</v>
      </c>
      <c r="G23" s="12">
        <v>-129.08879999999999</v>
      </c>
    </row>
    <row r="24" spans="1:7" ht="15.75" customHeight="1" x14ac:dyDescent="0.45">
      <c r="A24" s="10" t="s">
        <v>441</v>
      </c>
      <c r="B24" s="10" t="s">
        <v>442</v>
      </c>
      <c r="C24" s="12">
        <v>83.927400000000006</v>
      </c>
      <c r="D24" s="12">
        <v>40.929600000000001</v>
      </c>
      <c r="E24" s="12">
        <v>76.292299999999997</v>
      </c>
      <c r="F24" s="12">
        <v>58.91</v>
      </c>
      <c r="G24" s="12">
        <v>76.912999999999997</v>
      </c>
    </row>
    <row r="25" spans="1:7" ht="15.75" customHeight="1" x14ac:dyDescent="0.45">
      <c r="A25" s="10" t="s">
        <v>443</v>
      </c>
      <c r="B25" s="10" t="s">
        <v>444</v>
      </c>
      <c r="C25" s="12">
        <v>-113.2042</v>
      </c>
      <c r="D25" s="12">
        <v>-30.107399999999998</v>
      </c>
      <c r="E25" s="12">
        <v>-168.93299999999999</v>
      </c>
      <c r="F25" s="12">
        <v>-78.746099999999998</v>
      </c>
      <c r="G25" s="12">
        <v>-48.737499999999997</v>
      </c>
    </row>
    <row r="26" spans="1:7" ht="15.75" customHeight="1" x14ac:dyDescent="0.45">
      <c r="A26" s="10" t="s">
        <v>445</v>
      </c>
      <c r="B26" s="10" t="s">
        <v>446</v>
      </c>
      <c r="C26" s="12">
        <v>-12.0715</v>
      </c>
      <c r="D26" s="12">
        <v>0</v>
      </c>
      <c r="E26" s="12">
        <v>-18.936499999999999</v>
      </c>
      <c r="F26" s="12">
        <v>-2.8708</v>
      </c>
      <c r="G26" s="12">
        <v>-16.2133</v>
      </c>
    </row>
    <row r="27" spans="1:7" ht="15.75" customHeight="1" x14ac:dyDescent="0.45">
      <c r="A27" s="10" t="s">
        <v>447</v>
      </c>
      <c r="B27" s="10" t="s">
        <v>448</v>
      </c>
      <c r="C27" s="12">
        <v>-5.5014000000000003</v>
      </c>
      <c r="D27" s="12">
        <v>-3.6112000000000002</v>
      </c>
      <c r="E27" s="12">
        <v>-4.4534000000000002</v>
      </c>
      <c r="F27" s="12">
        <v>-38.013199999999998</v>
      </c>
      <c r="G27" s="12">
        <v>-158.18090000000001</v>
      </c>
    </row>
    <row r="28" spans="1:7" ht="15.75" customHeight="1" x14ac:dyDescent="0.45">
      <c r="A28" s="10" t="s">
        <v>449</v>
      </c>
      <c r="B28" s="10" t="s">
        <v>450</v>
      </c>
      <c r="C28" s="12" t="s">
        <v>30</v>
      </c>
      <c r="D28" s="12">
        <v>-33.830300000000001</v>
      </c>
      <c r="E28" s="12" t="s">
        <v>30</v>
      </c>
      <c r="F28" s="12" t="s">
        <v>30</v>
      </c>
      <c r="G28" s="12" t="s">
        <v>30</v>
      </c>
    </row>
    <row r="29" spans="1:7" ht="15.75" customHeight="1" x14ac:dyDescent="0.45">
      <c r="A29" s="8" t="s">
        <v>451</v>
      </c>
      <c r="B29" s="8" t="s">
        <v>452</v>
      </c>
      <c r="C29" s="13">
        <v>-113.107</v>
      </c>
      <c r="D29" s="13">
        <v>-172.73849999999999</v>
      </c>
      <c r="E29" s="13">
        <v>-299.41629999999998</v>
      </c>
      <c r="F29" s="13">
        <v>-202.07839999999999</v>
      </c>
      <c r="G29" s="13">
        <v>-266.89949999999999</v>
      </c>
    </row>
    <row r="30" spans="1:7" ht="15.75" customHeight="1" x14ac:dyDescent="0.45">
      <c r="A30" s="10" t="s">
        <v>453</v>
      </c>
      <c r="B30" s="11"/>
      <c r="C30" s="11"/>
      <c r="D30" s="11"/>
      <c r="E30" s="11"/>
      <c r="F30" s="11"/>
      <c r="G30" s="11"/>
    </row>
    <row r="31" spans="1:7" ht="15.75" customHeight="1" x14ac:dyDescent="0.45">
      <c r="A31" s="10" t="s">
        <v>454</v>
      </c>
      <c r="B31" s="10" t="s">
        <v>455</v>
      </c>
      <c r="C31" s="12">
        <v>-115.2856</v>
      </c>
      <c r="D31" s="12">
        <v>-113.0919</v>
      </c>
      <c r="E31" s="12">
        <v>-112.15009999999999</v>
      </c>
      <c r="F31" s="12">
        <v>-110.438</v>
      </c>
      <c r="G31" s="12">
        <v>-106.86060000000001</v>
      </c>
    </row>
    <row r="32" spans="1:7" ht="15.75" customHeight="1" x14ac:dyDescent="0.45">
      <c r="A32" s="10" t="s">
        <v>456</v>
      </c>
      <c r="B32" s="10" t="s">
        <v>457</v>
      </c>
      <c r="C32" s="12">
        <v>0</v>
      </c>
      <c r="D32" s="12" t="s">
        <v>30</v>
      </c>
      <c r="E32" s="12" t="s">
        <v>30</v>
      </c>
      <c r="F32" s="12" t="s">
        <v>30</v>
      </c>
      <c r="G32" s="12" t="s">
        <v>30</v>
      </c>
    </row>
    <row r="33" spans="1:7" ht="15.75" customHeight="1" x14ac:dyDescent="0.45">
      <c r="A33" s="10" t="s">
        <v>458</v>
      </c>
      <c r="B33" s="10" t="s">
        <v>459</v>
      </c>
      <c r="C33" s="12">
        <v>0</v>
      </c>
      <c r="D33" s="12">
        <v>0</v>
      </c>
      <c r="E33" s="12" t="s">
        <v>30</v>
      </c>
      <c r="F33" s="12" t="s">
        <v>30</v>
      </c>
      <c r="G33" s="12" t="s">
        <v>30</v>
      </c>
    </row>
    <row r="34" spans="1:7" ht="15.75" customHeight="1" x14ac:dyDescent="0.45">
      <c r="A34" s="10" t="s">
        <v>460</v>
      </c>
      <c r="B34" s="10" t="s">
        <v>461</v>
      </c>
      <c r="C34" s="12">
        <v>29.808800000000002</v>
      </c>
      <c r="D34" s="12">
        <v>16.6023</v>
      </c>
      <c r="E34" s="12">
        <v>29.398299999999999</v>
      </c>
      <c r="F34" s="12">
        <v>27.295100000000001</v>
      </c>
      <c r="G34" s="12">
        <v>14.4602</v>
      </c>
    </row>
    <row r="35" spans="1:7" ht="15.75" customHeight="1" x14ac:dyDescent="0.45">
      <c r="A35" s="10" t="s">
        <v>462</v>
      </c>
      <c r="B35" s="10" t="s">
        <v>463</v>
      </c>
      <c r="C35" s="12">
        <v>-324.6431</v>
      </c>
      <c r="D35" s="12">
        <v>-112.5294</v>
      </c>
      <c r="E35" s="12">
        <v>-147.40110000000001</v>
      </c>
      <c r="F35" s="12">
        <v>-206.10810000000001</v>
      </c>
      <c r="G35" s="12">
        <v>-315.49950000000001</v>
      </c>
    </row>
    <row r="36" spans="1:7" ht="15.75" customHeight="1" x14ac:dyDescent="0.45">
      <c r="A36" s="10" t="s">
        <v>464</v>
      </c>
      <c r="B36" s="10" t="s">
        <v>465</v>
      </c>
      <c r="C36" s="12">
        <v>-161.05940000000001</v>
      </c>
      <c r="D36" s="12">
        <v>-43.557000000000002</v>
      </c>
      <c r="E36" s="12">
        <v>7.6803999999999997</v>
      </c>
      <c r="F36" s="12">
        <v>6.8837000000000002</v>
      </c>
      <c r="G36" s="12">
        <v>-87.673100000000005</v>
      </c>
    </row>
    <row r="37" spans="1:7" ht="15.75" customHeight="1" x14ac:dyDescent="0.45">
      <c r="A37" s="10" t="s">
        <v>466</v>
      </c>
      <c r="B37" s="10" t="s">
        <v>467</v>
      </c>
      <c r="C37" s="12">
        <v>262.31169999999997</v>
      </c>
      <c r="D37" s="12">
        <v>218.75460000000001</v>
      </c>
      <c r="E37" s="12">
        <v>226.435</v>
      </c>
      <c r="F37" s="12">
        <v>233.31880000000001</v>
      </c>
      <c r="G37" s="12">
        <v>145.64570000000001</v>
      </c>
    </row>
    <row r="38" spans="1:7" ht="15.75" customHeight="1" x14ac:dyDescent="0.45">
      <c r="A38" s="10" t="s">
        <v>468</v>
      </c>
      <c r="B38" s="10" t="s">
        <v>469</v>
      </c>
      <c r="C38" s="12">
        <v>423.37099999999998</v>
      </c>
      <c r="D38" s="12">
        <v>262.31169999999997</v>
      </c>
      <c r="E38" s="12">
        <v>218.75460000000001</v>
      </c>
      <c r="F38" s="12">
        <v>226.435</v>
      </c>
      <c r="G38" s="12">
        <v>233.31880000000001</v>
      </c>
    </row>
    <row r="39" spans="1:7" ht="15.75" customHeight="1" x14ac:dyDescent="0.45">
      <c r="A39" s="8" t="s">
        <v>470</v>
      </c>
      <c r="B39" s="8" t="s">
        <v>471</v>
      </c>
      <c r="C39" s="13">
        <v>-410.12</v>
      </c>
      <c r="D39" s="13">
        <v>-209.01910000000001</v>
      </c>
      <c r="E39" s="13">
        <v>-230.15289999999999</v>
      </c>
      <c r="F39" s="13">
        <v>-289.25110000000001</v>
      </c>
      <c r="G39" s="13">
        <v>-407.89980000000003</v>
      </c>
    </row>
    <row r="40" spans="1:7" ht="15.75" customHeight="1" x14ac:dyDescent="0.45">
      <c r="A40" s="10" t="s">
        <v>82</v>
      </c>
      <c r="B40" s="11"/>
      <c r="C40" s="11"/>
      <c r="D40" s="11"/>
      <c r="E40" s="11"/>
      <c r="F40" s="11"/>
      <c r="G40" s="11"/>
    </row>
    <row r="41" spans="1:7" ht="15.75" customHeight="1" x14ac:dyDescent="0.45">
      <c r="A41" s="10" t="s">
        <v>472</v>
      </c>
      <c r="B41" s="10" t="s">
        <v>473</v>
      </c>
      <c r="C41" s="12" t="s">
        <v>30</v>
      </c>
      <c r="D41" s="12" t="s">
        <v>30</v>
      </c>
      <c r="E41" s="12" t="s">
        <v>30</v>
      </c>
      <c r="F41" s="12" t="s">
        <v>30</v>
      </c>
      <c r="G41" s="12" t="s">
        <v>30</v>
      </c>
    </row>
    <row r="42" spans="1:7" ht="15.75" customHeight="1" x14ac:dyDescent="0.45">
      <c r="A42" s="15" t="s">
        <v>158</v>
      </c>
      <c r="B42" s="15"/>
      <c r="C42" s="15" t="s">
        <v>159</v>
      </c>
      <c r="D42" s="15"/>
      <c r="E42" s="15"/>
      <c r="F42" s="15"/>
      <c r="G42" s="15"/>
    </row>
    <row r="43" spans="1:7" ht="15.75" customHeight="1" x14ac:dyDescent="0.45"/>
    <row r="44" spans="1:7" ht="15.75" customHeight="1" x14ac:dyDescent="0.45"/>
    <row r="45" spans="1:7" ht="15.75" customHeight="1" x14ac:dyDescent="0.45"/>
    <row r="46" spans="1:7" ht="15.75" customHeight="1" x14ac:dyDescent="0.45"/>
    <row r="47" spans="1:7" ht="15.75" customHeight="1" x14ac:dyDescent="0.45"/>
    <row r="48" spans="1:7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topLeftCell="A3" zoomScale="133" workbookViewId="0">
      <selection activeCell="A41" sqref="A41"/>
    </sheetView>
  </sheetViews>
  <sheetFormatPr defaultColWidth="14.3984375" defaultRowHeight="15" customHeight="1" x14ac:dyDescent="0.45"/>
  <cols>
    <col min="1" max="1" width="35.1328125" customWidth="1"/>
    <col min="2" max="2" width="8.73046875" hidden="1" customWidth="1"/>
    <col min="3" max="7" width="11.86328125" customWidth="1"/>
    <col min="8" max="9" width="8.73046875" customWidth="1"/>
    <col min="10" max="10" width="25.06640625" customWidth="1"/>
    <col min="11" max="11" width="17.9296875" customWidth="1"/>
    <col min="12" max="26" width="8.73046875" customWidth="1"/>
  </cols>
  <sheetData>
    <row r="1" spans="1:7" ht="14.25" x14ac:dyDescent="0.45">
      <c r="A1" s="1"/>
      <c r="B1" s="1"/>
      <c r="C1" s="1"/>
      <c r="D1" s="1"/>
      <c r="E1" s="1"/>
      <c r="F1" s="1"/>
      <c r="G1" s="1"/>
    </row>
    <row r="2" spans="1:7" ht="20.65" x14ac:dyDescent="0.45">
      <c r="A2" s="2" t="s">
        <v>0</v>
      </c>
      <c r="B2" s="2"/>
      <c r="C2" s="2"/>
      <c r="D2" s="2"/>
      <c r="E2" s="2"/>
      <c r="F2" s="2"/>
      <c r="G2" s="2"/>
    </row>
    <row r="3" spans="1:7" ht="14.25" x14ac:dyDescent="0.45">
      <c r="A3" s="3"/>
      <c r="B3" s="3"/>
      <c r="C3" s="3"/>
      <c r="D3" s="3"/>
      <c r="E3" s="3"/>
      <c r="F3" s="3"/>
      <c r="G3" s="3"/>
    </row>
    <row r="4" spans="1:7" ht="14.25" x14ac:dyDescent="0.45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</row>
    <row r="5" spans="1:7" ht="14.25" x14ac:dyDescent="0.45">
      <c r="A5" s="6" t="s">
        <v>7</v>
      </c>
      <c r="B5" s="6"/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</row>
    <row r="6" spans="1:7" ht="14.25" x14ac:dyDescent="0.45">
      <c r="A6" s="8" t="s">
        <v>160</v>
      </c>
      <c r="B6" s="9"/>
      <c r="C6" s="9"/>
      <c r="D6" s="9"/>
      <c r="E6" s="9"/>
      <c r="F6" s="9"/>
      <c r="G6" s="9"/>
    </row>
    <row r="7" spans="1:7" ht="14.25" x14ac:dyDescent="0.45">
      <c r="A7" s="10" t="s">
        <v>161</v>
      </c>
      <c r="B7" s="11"/>
      <c r="C7" s="11"/>
      <c r="D7" s="11"/>
      <c r="E7" s="11"/>
      <c r="F7" s="11"/>
      <c r="G7" s="11"/>
    </row>
    <row r="8" spans="1:7" ht="14.25" x14ac:dyDescent="0.45">
      <c r="A8" s="91" t="s">
        <v>162</v>
      </c>
      <c r="B8" s="10" t="s">
        <v>163</v>
      </c>
      <c r="C8" s="12">
        <v>262.31169999999997</v>
      </c>
      <c r="D8" s="12">
        <v>214.75460000000001</v>
      </c>
      <c r="E8" s="12">
        <v>226.435</v>
      </c>
      <c r="F8" s="12">
        <v>233.31880000000001</v>
      </c>
      <c r="G8" s="12">
        <v>145.64570000000001</v>
      </c>
    </row>
    <row r="9" spans="1:7" ht="14.25" x14ac:dyDescent="0.45">
      <c r="A9" s="10" t="s">
        <v>164</v>
      </c>
      <c r="B9" s="10" t="s">
        <v>165</v>
      </c>
      <c r="C9" s="12">
        <v>249.79490000000001</v>
      </c>
      <c r="D9" s="12">
        <v>276.49380000000002</v>
      </c>
      <c r="E9" s="12">
        <v>321.80990000000003</v>
      </c>
      <c r="F9" s="12">
        <v>295.34440000000001</v>
      </c>
      <c r="G9" s="12">
        <v>368.51760000000002</v>
      </c>
    </row>
    <row r="10" spans="1:7" ht="14.25" x14ac:dyDescent="0.45">
      <c r="A10" s="10" t="s">
        <v>166</v>
      </c>
      <c r="B10" s="10" t="s">
        <v>167</v>
      </c>
      <c r="C10" s="12">
        <v>316.26740000000001</v>
      </c>
      <c r="D10" s="12">
        <v>404.3603</v>
      </c>
      <c r="E10" s="12">
        <v>402.47300000000001</v>
      </c>
      <c r="F10" s="12">
        <v>436.49740000000003</v>
      </c>
      <c r="G10" s="12">
        <v>516.25360000000001</v>
      </c>
    </row>
    <row r="11" spans="1:7" ht="14.25" x14ac:dyDescent="0.45">
      <c r="A11" s="10" t="s">
        <v>168</v>
      </c>
      <c r="B11" s="10" t="s">
        <v>169</v>
      </c>
      <c r="C11" s="12" t="s">
        <v>30</v>
      </c>
      <c r="D11" s="12" t="s">
        <v>30</v>
      </c>
      <c r="E11" s="12" t="s">
        <v>30</v>
      </c>
      <c r="F11" s="12" t="s">
        <v>30</v>
      </c>
      <c r="G11" s="12" t="s">
        <v>30</v>
      </c>
    </row>
    <row r="12" spans="1:7" ht="14.25" x14ac:dyDescent="0.45">
      <c r="A12" s="10" t="s">
        <v>170</v>
      </c>
      <c r="B12" s="10" t="s">
        <v>171</v>
      </c>
      <c r="C12" s="12" t="s">
        <v>30</v>
      </c>
      <c r="D12" s="12">
        <v>4</v>
      </c>
      <c r="E12" s="12">
        <v>0</v>
      </c>
      <c r="F12" s="12" t="s">
        <v>30</v>
      </c>
      <c r="G12" s="12" t="s">
        <v>30</v>
      </c>
    </row>
    <row r="13" spans="1:7" ht="14.25" x14ac:dyDescent="0.45">
      <c r="A13" s="10" t="s">
        <v>172</v>
      </c>
      <c r="B13" s="10" t="s">
        <v>173</v>
      </c>
      <c r="C13" s="12">
        <v>39.178100000000001</v>
      </c>
      <c r="D13" s="12">
        <v>26.036300000000001</v>
      </c>
      <c r="E13" s="12">
        <v>32.663800000000002</v>
      </c>
      <c r="F13" s="12">
        <v>49.8628</v>
      </c>
      <c r="G13" s="12">
        <v>92.631</v>
      </c>
    </row>
    <row r="14" spans="1:7" ht="14.25" x14ac:dyDescent="0.45">
      <c r="A14" s="91" t="s">
        <v>174</v>
      </c>
      <c r="B14" s="10" t="s">
        <v>175</v>
      </c>
      <c r="C14" s="12">
        <v>5.4236000000000004</v>
      </c>
      <c r="D14" s="12">
        <v>23.007400000000001</v>
      </c>
      <c r="E14" s="12">
        <v>14.3565</v>
      </c>
      <c r="F14" s="12">
        <v>22.3048</v>
      </c>
      <c r="G14" s="12">
        <v>5.3865999999999996</v>
      </c>
    </row>
    <row r="15" spans="1:7" ht="14.25" x14ac:dyDescent="0.45">
      <c r="A15" s="8" t="s">
        <v>176</v>
      </c>
      <c r="B15" s="8" t="s">
        <v>177</v>
      </c>
      <c r="C15" s="13">
        <v>872.97569999999996</v>
      </c>
      <c r="D15" s="13">
        <v>948.65239999999994</v>
      </c>
      <c r="E15" s="13">
        <v>997.73820000000001</v>
      </c>
      <c r="F15" s="13">
        <v>1037.3281999999999</v>
      </c>
      <c r="G15" s="13">
        <v>1128.4345000000001</v>
      </c>
    </row>
    <row r="16" spans="1:7" ht="14.25" x14ac:dyDescent="0.45">
      <c r="A16" s="10" t="s">
        <v>178</v>
      </c>
      <c r="B16" s="11"/>
      <c r="C16" s="11"/>
      <c r="D16" s="11"/>
      <c r="E16" s="11"/>
      <c r="F16" s="11"/>
      <c r="G16" s="11"/>
    </row>
    <row r="17" spans="1:7" ht="14.25" x14ac:dyDescent="0.45">
      <c r="A17" s="91" t="s">
        <v>179</v>
      </c>
      <c r="B17" s="10" t="s">
        <v>180</v>
      </c>
      <c r="C17" s="12">
        <v>207.69309999999999</v>
      </c>
      <c r="D17" s="12">
        <v>153.90600000000001</v>
      </c>
      <c r="E17" s="12">
        <v>299.08089999999999</v>
      </c>
      <c r="F17" s="12">
        <v>339.60399999999998</v>
      </c>
      <c r="G17" s="12">
        <v>272.97590000000002</v>
      </c>
    </row>
    <row r="18" spans="1:7" ht="14.25" x14ac:dyDescent="0.45">
      <c r="A18" s="10" t="s">
        <v>181</v>
      </c>
      <c r="B18" s="10" t="s">
        <v>182</v>
      </c>
      <c r="C18" s="12">
        <v>363.64640000000003</v>
      </c>
      <c r="D18" s="12">
        <v>376.93439999999998</v>
      </c>
      <c r="E18" s="12">
        <v>472.1123</v>
      </c>
      <c r="F18" s="12">
        <v>531.26110000000006</v>
      </c>
      <c r="G18" s="12">
        <v>591.48800000000006</v>
      </c>
    </row>
    <row r="19" spans="1:7" ht="14.25" x14ac:dyDescent="0.45">
      <c r="A19" s="10" t="s">
        <v>183</v>
      </c>
      <c r="B19" s="10" t="s">
        <v>184</v>
      </c>
      <c r="C19" s="12">
        <v>77.592200000000005</v>
      </c>
      <c r="D19" s="12">
        <v>165.57490000000001</v>
      </c>
      <c r="E19" s="12">
        <v>158.3272</v>
      </c>
      <c r="F19" s="12">
        <v>177.90729999999999</v>
      </c>
      <c r="G19" s="12">
        <v>83.048400000000001</v>
      </c>
    </row>
    <row r="20" spans="1:7" ht="14.25" x14ac:dyDescent="0.45">
      <c r="A20" s="10" t="s">
        <v>185</v>
      </c>
      <c r="B20" s="10" t="s">
        <v>186</v>
      </c>
      <c r="C20" s="12">
        <v>883.24009999999998</v>
      </c>
      <c r="D20" s="12">
        <v>935.84829999999999</v>
      </c>
      <c r="E20" s="12">
        <v>1011.9307</v>
      </c>
      <c r="F20" s="12">
        <v>1065.1097</v>
      </c>
      <c r="G20" s="12">
        <v>1240.2128</v>
      </c>
    </row>
    <row r="21" spans="1:7" ht="15.75" customHeight="1" x14ac:dyDescent="0.45">
      <c r="A21" s="10" t="s">
        <v>187</v>
      </c>
      <c r="B21" s="10" t="s">
        <v>188</v>
      </c>
      <c r="C21" s="12">
        <v>1324.4785999999999</v>
      </c>
      <c r="D21" s="12">
        <v>1478.3575000000001</v>
      </c>
      <c r="E21" s="12">
        <v>1642.3703</v>
      </c>
      <c r="F21" s="12">
        <v>1774.2781</v>
      </c>
      <c r="G21" s="12">
        <v>1914.7492</v>
      </c>
    </row>
    <row r="22" spans="1:7" ht="15.75" customHeight="1" x14ac:dyDescent="0.45">
      <c r="A22" s="10" t="s">
        <v>189</v>
      </c>
      <c r="B22" s="10" t="s">
        <v>190</v>
      </c>
      <c r="C22" s="12">
        <v>860.35699999999997</v>
      </c>
      <c r="D22" s="12">
        <v>928.32449999999994</v>
      </c>
      <c r="E22" s="12">
        <v>989.49260000000004</v>
      </c>
      <c r="F22" s="12">
        <v>1045.7965999999999</v>
      </c>
      <c r="G22" s="12">
        <v>1123.8137999999999</v>
      </c>
    </row>
    <row r="23" spans="1:7" ht="15.75" customHeight="1" x14ac:dyDescent="0.45">
      <c r="A23" s="10" t="s">
        <v>191</v>
      </c>
      <c r="B23" s="10" t="s">
        <v>192</v>
      </c>
      <c r="C23" s="12">
        <v>464.12169999999998</v>
      </c>
      <c r="D23" s="12">
        <v>550.03300000000002</v>
      </c>
      <c r="E23" s="12">
        <v>652.8777</v>
      </c>
      <c r="F23" s="12">
        <v>728.48149999999998</v>
      </c>
      <c r="G23" s="12">
        <v>790.93539999999996</v>
      </c>
    </row>
    <row r="24" spans="1:7" ht="15.75" customHeight="1" x14ac:dyDescent="0.45">
      <c r="A24" s="10" t="s">
        <v>193</v>
      </c>
      <c r="B24" s="10" t="s">
        <v>194</v>
      </c>
      <c r="C24" s="12" t="s">
        <v>30</v>
      </c>
      <c r="D24" s="12">
        <v>25.528700000000001</v>
      </c>
      <c r="E24" s="12">
        <v>41.113799999999998</v>
      </c>
      <c r="F24" s="12">
        <v>53.154800000000002</v>
      </c>
      <c r="G24" s="12">
        <v>108.3386</v>
      </c>
    </row>
    <row r="25" spans="1:7" ht="15.75" customHeight="1" x14ac:dyDescent="0.45">
      <c r="A25" s="10" t="s">
        <v>195</v>
      </c>
      <c r="B25" s="10" t="s">
        <v>196</v>
      </c>
      <c r="C25" s="12">
        <v>272.6404</v>
      </c>
      <c r="D25" s="12">
        <v>286.87630000000001</v>
      </c>
      <c r="E25" s="12">
        <v>280.5215</v>
      </c>
      <c r="F25" s="12">
        <v>195.15719999999999</v>
      </c>
      <c r="G25" s="12">
        <v>189.34139999999999</v>
      </c>
    </row>
    <row r="26" spans="1:7" ht="15.75" customHeight="1" x14ac:dyDescent="0.45">
      <c r="A26" s="91" t="s">
        <v>197</v>
      </c>
      <c r="B26" s="10" t="s">
        <v>198</v>
      </c>
      <c r="C26" s="12" t="s">
        <v>30</v>
      </c>
      <c r="D26" s="12">
        <v>48.426000000000002</v>
      </c>
      <c r="E26" s="12" t="s">
        <v>30</v>
      </c>
      <c r="F26" s="12" t="s">
        <v>30</v>
      </c>
      <c r="G26" s="12" t="s">
        <v>30</v>
      </c>
    </row>
    <row r="27" spans="1:7" ht="15.75" customHeight="1" x14ac:dyDescent="0.45">
      <c r="A27" s="10" t="s">
        <v>199</v>
      </c>
      <c r="B27" s="10" t="s">
        <v>200</v>
      </c>
      <c r="C27" s="12">
        <v>313.96019999999999</v>
      </c>
      <c r="D27" s="12">
        <v>313.8075</v>
      </c>
      <c r="E27" s="12">
        <v>340.10559999999998</v>
      </c>
      <c r="F27" s="12">
        <v>340.66890000000001</v>
      </c>
      <c r="G27" s="12">
        <v>357.21190000000001</v>
      </c>
    </row>
    <row r="28" spans="1:7" ht="15.75" customHeight="1" x14ac:dyDescent="0.45">
      <c r="A28" s="10" t="s">
        <v>201</v>
      </c>
      <c r="B28" s="10" t="s">
        <v>202</v>
      </c>
      <c r="C28" s="12" t="s">
        <v>30</v>
      </c>
      <c r="D28" s="12" t="s">
        <v>30</v>
      </c>
      <c r="E28" s="12" t="s">
        <v>30</v>
      </c>
      <c r="F28" s="12">
        <v>66.426400000000001</v>
      </c>
      <c r="G28" s="12">
        <v>81.355199999999996</v>
      </c>
    </row>
    <row r="29" spans="1:7" ht="15.75" customHeight="1" x14ac:dyDescent="0.45">
      <c r="A29" s="10" t="s">
        <v>203</v>
      </c>
      <c r="B29" s="10" t="s">
        <v>204</v>
      </c>
      <c r="C29" s="12">
        <v>1258.4154000000001</v>
      </c>
      <c r="D29" s="12">
        <v>1378.5775000000001</v>
      </c>
      <c r="E29" s="12">
        <v>1613.6994</v>
      </c>
      <c r="F29" s="12" t="s">
        <v>30</v>
      </c>
      <c r="G29" s="12" t="s">
        <v>30</v>
      </c>
    </row>
    <row r="30" spans="1:7" ht="15.75" customHeight="1" x14ac:dyDescent="0.45">
      <c r="A30" s="8" t="s">
        <v>205</v>
      </c>
      <c r="B30" s="8" t="s">
        <v>206</v>
      </c>
      <c r="C30" s="13">
        <v>2131.3912</v>
      </c>
      <c r="D30" s="13">
        <v>2327.2298999999998</v>
      </c>
      <c r="E30" s="13">
        <v>2611.4376000000002</v>
      </c>
      <c r="F30" s="13">
        <v>2760.8209999999999</v>
      </c>
      <c r="G30" s="13">
        <v>2928.5927999999999</v>
      </c>
    </row>
    <row r="31" spans="1:7" ht="15.75" customHeight="1" x14ac:dyDescent="0.45">
      <c r="A31" s="10" t="s">
        <v>207</v>
      </c>
      <c r="B31" s="11"/>
      <c r="C31" s="11"/>
      <c r="D31" s="11"/>
      <c r="E31" s="11"/>
      <c r="F31" s="11"/>
      <c r="G31" s="11"/>
    </row>
    <row r="32" spans="1:7" ht="15.75" customHeight="1" x14ac:dyDescent="0.45">
      <c r="A32" s="10" t="s">
        <v>208</v>
      </c>
      <c r="B32" s="10" t="s">
        <v>209</v>
      </c>
      <c r="C32" s="12">
        <v>98.3429</v>
      </c>
      <c r="D32" s="12">
        <v>151.74</v>
      </c>
      <c r="E32" s="12">
        <v>184.39879999999999</v>
      </c>
      <c r="F32" s="12">
        <v>168.31489999999999</v>
      </c>
      <c r="G32" s="12">
        <v>248.98349999999999</v>
      </c>
    </row>
    <row r="33" spans="1:11" ht="15.75" customHeight="1" x14ac:dyDescent="0.45">
      <c r="A33" s="88" t="s">
        <v>210</v>
      </c>
      <c r="B33" s="10" t="s">
        <v>211</v>
      </c>
      <c r="C33" s="12" t="s">
        <v>30</v>
      </c>
      <c r="D33" s="12" t="s">
        <v>30</v>
      </c>
      <c r="E33" s="12" t="s">
        <v>30</v>
      </c>
      <c r="F33" s="12" t="s">
        <v>30</v>
      </c>
      <c r="G33" s="12" t="s">
        <v>30</v>
      </c>
    </row>
    <row r="34" spans="1:11" ht="15.75" customHeight="1" x14ac:dyDescent="0.45">
      <c r="A34" s="88" t="s">
        <v>212</v>
      </c>
      <c r="B34" s="10" t="s">
        <v>213</v>
      </c>
      <c r="C34" s="12">
        <v>14.019600000000001</v>
      </c>
      <c r="D34" s="12">
        <v>17.517600000000002</v>
      </c>
      <c r="E34" s="12">
        <v>22.7256</v>
      </c>
      <c r="F34" s="12">
        <v>19.526399999999999</v>
      </c>
      <c r="G34" s="12">
        <v>23.197199999999999</v>
      </c>
    </row>
    <row r="35" spans="1:11" ht="15.75" customHeight="1" x14ac:dyDescent="0.45">
      <c r="A35" s="10" t="s">
        <v>214</v>
      </c>
      <c r="B35" s="10" t="s">
        <v>215</v>
      </c>
      <c r="C35" s="12">
        <v>19.140899999999998</v>
      </c>
      <c r="D35" s="12">
        <v>19.208400000000001</v>
      </c>
      <c r="E35" s="12">
        <v>20.898900000000001</v>
      </c>
      <c r="F35" s="12">
        <v>21.087499999999999</v>
      </c>
      <c r="G35" s="12">
        <v>29.3581</v>
      </c>
    </row>
    <row r="36" spans="1:11" ht="15.75" customHeight="1" x14ac:dyDescent="0.45">
      <c r="A36" s="10" t="s">
        <v>216</v>
      </c>
      <c r="B36" s="10" t="s">
        <v>217</v>
      </c>
      <c r="C36" s="12">
        <v>28.372900000000001</v>
      </c>
      <c r="D36" s="12">
        <v>28.100300000000001</v>
      </c>
      <c r="E36" s="12">
        <v>27.774699999999999</v>
      </c>
      <c r="F36" s="12">
        <v>27.264900000000001</v>
      </c>
      <c r="G36" s="12">
        <v>25.853400000000001</v>
      </c>
    </row>
    <row r="37" spans="1:11" ht="15.75" customHeight="1" x14ac:dyDescent="0.45">
      <c r="A37" s="10" t="s">
        <v>218</v>
      </c>
      <c r="B37" s="10" t="s">
        <v>219</v>
      </c>
      <c r="C37" s="12">
        <v>21.582899999999999</v>
      </c>
      <c r="D37" s="12">
        <v>15.259499999999999</v>
      </c>
      <c r="E37" s="12">
        <v>15.1175</v>
      </c>
      <c r="F37" s="12">
        <v>16.0595</v>
      </c>
      <c r="G37" s="12">
        <v>59.303800000000003</v>
      </c>
    </row>
    <row r="38" spans="1:11" ht="15.75" customHeight="1" x14ac:dyDescent="0.45">
      <c r="A38" s="10" t="s">
        <v>220</v>
      </c>
      <c r="B38" s="10" t="s">
        <v>221</v>
      </c>
      <c r="C38" s="12">
        <v>0.19689999999999999</v>
      </c>
      <c r="D38" s="12">
        <v>18.726900000000001</v>
      </c>
      <c r="E38" s="12">
        <v>0.69340000000000002</v>
      </c>
      <c r="F38" s="12">
        <v>0.4395</v>
      </c>
      <c r="G38" s="12">
        <v>0.84699999999999998</v>
      </c>
    </row>
    <row r="39" spans="1:11" ht="15.75" customHeight="1" x14ac:dyDescent="0.45">
      <c r="A39" s="8" t="s">
        <v>222</v>
      </c>
      <c r="B39" s="8" t="s">
        <v>223</v>
      </c>
      <c r="C39" s="13">
        <v>181.65610000000001</v>
      </c>
      <c r="D39" s="13">
        <v>250.55279999999999</v>
      </c>
      <c r="E39" s="13">
        <v>271.60899999999998</v>
      </c>
      <c r="F39" s="13">
        <v>252.6927</v>
      </c>
      <c r="G39" s="13">
        <v>387.54300000000001</v>
      </c>
    </row>
    <row r="40" spans="1:11" ht="15.75" customHeight="1" x14ac:dyDescent="0.45">
      <c r="A40" s="10" t="s">
        <v>224</v>
      </c>
      <c r="B40" s="11"/>
      <c r="C40" s="11"/>
      <c r="D40" s="11"/>
      <c r="E40" s="11"/>
      <c r="F40" s="11"/>
      <c r="G40" s="11"/>
    </row>
    <row r="41" spans="1:11" ht="15.75" customHeight="1" x14ac:dyDescent="0.45">
      <c r="A41" s="88" t="s">
        <v>225</v>
      </c>
      <c r="B41" s="10" t="s">
        <v>226</v>
      </c>
      <c r="C41" s="12" t="s">
        <v>30</v>
      </c>
      <c r="D41" s="12" t="s">
        <v>30</v>
      </c>
      <c r="E41" s="12" t="s">
        <v>30</v>
      </c>
      <c r="F41" s="12" t="s">
        <v>30</v>
      </c>
      <c r="G41" s="12" t="s">
        <v>30</v>
      </c>
    </row>
    <row r="42" spans="1:11" ht="15.75" customHeight="1" x14ac:dyDescent="0.45">
      <c r="A42" s="10" t="s">
        <v>227</v>
      </c>
      <c r="B42" s="10" t="s">
        <v>228</v>
      </c>
      <c r="C42" s="12">
        <v>0</v>
      </c>
      <c r="D42" s="12" t="s">
        <v>30</v>
      </c>
      <c r="E42" s="12" t="s">
        <v>30</v>
      </c>
      <c r="F42" s="12" t="s">
        <v>30</v>
      </c>
      <c r="G42" s="12">
        <v>0.90890000000000004</v>
      </c>
    </row>
    <row r="43" spans="1:11" ht="15.75" customHeight="1" x14ac:dyDescent="0.45">
      <c r="A43" s="10" t="s">
        <v>229</v>
      </c>
      <c r="B43" s="10" t="s">
        <v>230</v>
      </c>
      <c r="C43" s="12">
        <v>11.746600000000001</v>
      </c>
      <c r="D43" s="12">
        <v>10.884399999999999</v>
      </c>
      <c r="E43" s="12">
        <v>27.311499999999999</v>
      </c>
      <c r="F43" s="12">
        <v>36.028599999999997</v>
      </c>
      <c r="G43" s="12">
        <v>49.209000000000003</v>
      </c>
    </row>
    <row r="44" spans="1:11" ht="15.75" customHeight="1" x14ac:dyDescent="0.45">
      <c r="A44" s="8" t="s">
        <v>231</v>
      </c>
      <c r="B44" s="8" t="s">
        <v>232</v>
      </c>
      <c r="C44" s="13">
        <v>193.40270000000001</v>
      </c>
      <c r="D44" s="13">
        <v>261.43709999999999</v>
      </c>
      <c r="E44" s="13">
        <v>298.9205</v>
      </c>
      <c r="F44" s="13">
        <v>288.72129999999999</v>
      </c>
      <c r="G44" s="13">
        <v>437.66090000000003</v>
      </c>
    </row>
    <row r="45" spans="1:11" ht="15.75" customHeight="1" x14ac:dyDescent="0.45">
      <c r="A45" s="10" t="s">
        <v>233</v>
      </c>
      <c r="B45" s="11"/>
      <c r="C45" s="11"/>
      <c r="D45" s="11"/>
      <c r="E45" s="11"/>
      <c r="F45" s="11"/>
      <c r="G45" s="11"/>
    </row>
    <row r="46" spans="1:11" ht="15.75" customHeight="1" x14ac:dyDescent="0.45">
      <c r="A46" s="88" t="s">
        <v>234</v>
      </c>
      <c r="B46" s="10" t="s">
        <v>235</v>
      </c>
      <c r="C46" s="12" t="s">
        <v>30</v>
      </c>
      <c r="D46" s="12" t="s">
        <v>30</v>
      </c>
      <c r="E46" s="12" t="s">
        <v>30</v>
      </c>
      <c r="F46" s="12" t="s">
        <v>30</v>
      </c>
      <c r="G46" s="12" t="s">
        <v>30</v>
      </c>
    </row>
    <row r="47" spans="1:11" ht="15.75" customHeight="1" x14ac:dyDescent="0.45">
      <c r="A47" s="88" t="s">
        <v>236</v>
      </c>
      <c r="B47" s="10" t="s">
        <v>237</v>
      </c>
      <c r="C47" s="12" t="s">
        <v>30</v>
      </c>
      <c r="D47" s="12" t="s">
        <v>30</v>
      </c>
      <c r="E47" s="12" t="s">
        <v>30</v>
      </c>
      <c r="F47" s="12">
        <v>4.149</v>
      </c>
      <c r="G47" s="12">
        <v>0</v>
      </c>
    </row>
    <row r="48" spans="1:11" ht="15.75" customHeight="1" x14ac:dyDescent="0.45">
      <c r="A48" s="10" t="s">
        <v>238</v>
      </c>
      <c r="B48" s="10" t="s">
        <v>239</v>
      </c>
      <c r="C48" s="12">
        <v>14.186500000000001</v>
      </c>
      <c r="D48" s="12">
        <v>14.0502</v>
      </c>
      <c r="E48" s="12">
        <v>13.8873</v>
      </c>
      <c r="F48" s="12">
        <v>13.632400000000001</v>
      </c>
      <c r="G48" s="12">
        <v>12.9267</v>
      </c>
      <c r="J48" s="90" t="s">
        <v>531</v>
      </c>
      <c r="K48">
        <v>23.27</v>
      </c>
    </row>
    <row r="49" spans="1:11" ht="15.75" customHeight="1" x14ac:dyDescent="0.45">
      <c r="A49" s="10" t="s">
        <v>240</v>
      </c>
      <c r="B49" s="10" t="s">
        <v>241</v>
      </c>
      <c r="C49" s="12">
        <v>879.41340000000002</v>
      </c>
      <c r="D49" s="12">
        <v>917.49929999999995</v>
      </c>
      <c r="E49" s="12">
        <v>968.24590000000001</v>
      </c>
      <c r="F49" s="12">
        <v>1010.4404</v>
      </c>
      <c r="G49" s="12">
        <v>1008.5893</v>
      </c>
      <c r="J49" s="90" t="s">
        <v>532</v>
      </c>
      <c r="K49" s="74">
        <f>(K48*G53)+G47+G77+G94+G34-G14-G8</f>
        <v>5171.7927249999993</v>
      </c>
    </row>
    <row r="50" spans="1:11" ht="15.75" customHeight="1" x14ac:dyDescent="0.45">
      <c r="A50" s="10" t="s">
        <v>242</v>
      </c>
      <c r="B50" s="10" t="s">
        <v>243</v>
      </c>
      <c r="C50" s="12">
        <v>1.9272</v>
      </c>
      <c r="D50" s="12">
        <v>-14.142899999999999</v>
      </c>
      <c r="E50" s="12">
        <v>-6.5571000000000002</v>
      </c>
      <c r="F50" s="12">
        <v>-6.4093</v>
      </c>
      <c r="G50" s="12">
        <v>1.0367</v>
      </c>
    </row>
    <row r="51" spans="1:11" ht="15.75" customHeight="1" x14ac:dyDescent="0.45">
      <c r="A51" s="10" t="s">
        <v>244</v>
      </c>
      <c r="B51" s="10" t="s">
        <v>245</v>
      </c>
      <c r="C51" s="12">
        <v>1042.4613999999999</v>
      </c>
      <c r="D51" s="12">
        <v>1148.3862999999999</v>
      </c>
      <c r="E51" s="12">
        <v>1336.941</v>
      </c>
      <c r="F51" s="12">
        <v>1450.2871</v>
      </c>
      <c r="G51" s="12">
        <v>1466.046</v>
      </c>
    </row>
    <row r="52" spans="1:11" ht="15.75" customHeight="1" x14ac:dyDescent="0.45">
      <c r="A52" s="10" t="s">
        <v>246</v>
      </c>
      <c r="B52" s="10" t="s">
        <v>247</v>
      </c>
      <c r="C52" s="12" t="s">
        <v>30</v>
      </c>
      <c r="D52" s="12" t="s">
        <v>30</v>
      </c>
      <c r="E52" s="12" t="s">
        <v>30</v>
      </c>
      <c r="F52" s="12" t="s">
        <v>30</v>
      </c>
      <c r="G52" s="12">
        <v>-0.76900000000000002</v>
      </c>
    </row>
    <row r="53" spans="1:11" ht="15.75" customHeight="1" x14ac:dyDescent="0.45">
      <c r="A53" s="88" t="s">
        <v>248</v>
      </c>
      <c r="B53" s="10" t="s">
        <v>249</v>
      </c>
      <c r="C53" s="12">
        <v>236.4408</v>
      </c>
      <c r="D53" s="12">
        <v>236.4408</v>
      </c>
      <c r="E53" s="12">
        <v>231.4554</v>
      </c>
      <c r="F53" s="12">
        <v>231.4554</v>
      </c>
      <c r="G53" s="89">
        <v>227.20750000000001</v>
      </c>
    </row>
    <row r="54" spans="1:11" ht="15.75" customHeight="1" x14ac:dyDescent="0.45">
      <c r="A54" s="10" t="s">
        <v>250</v>
      </c>
      <c r="B54" s="10" t="s">
        <v>251</v>
      </c>
      <c r="C54" s="14">
        <v>0.06</v>
      </c>
      <c r="D54" s="14">
        <v>0.06</v>
      </c>
      <c r="E54" s="14">
        <v>0.06</v>
      </c>
      <c r="F54" s="14">
        <v>0.06</v>
      </c>
      <c r="G54" s="14">
        <v>0.06</v>
      </c>
    </row>
    <row r="55" spans="1:11" ht="15.75" customHeight="1" x14ac:dyDescent="0.45">
      <c r="A55" s="10" t="s">
        <v>252</v>
      </c>
      <c r="B55" s="10" t="s">
        <v>253</v>
      </c>
      <c r="C55" s="12">
        <v>1937.9884999999999</v>
      </c>
      <c r="D55" s="12">
        <v>2065.7928000000002</v>
      </c>
      <c r="E55" s="12">
        <v>2312.5171</v>
      </c>
      <c r="F55" s="12">
        <v>2467.9506999999999</v>
      </c>
      <c r="G55" s="12">
        <v>2490.9319</v>
      </c>
    </row>
    <row r="56" spans="1:11" ht="15.75" customHeight="1" x14ac:dyDescent="0.45">
      <c r="A56" s="10" t="s">
        <v>254</v>
      </c>
      <c r="B56" s="10" t="s">
        <v>255</v>
      </c>
      <c r="C56" s="12">
        <v>400</v>
      </c>
      <c r="D56" s="12">
        <v>400</v>
      </c>
      <c r="E56" s="12">
        <v>400</v>
      </c>
      <c r="F56" s="12">
        <v>400</v>
      </c>
      <c r="G56" s="12">
        <v>400</v>
      </c>
    </row>
    <row r="57" spans="1:11" ht="15.75" customHeight="1" x14ac:dyDescent="0.45">
      <c r="A57" s="8" t="s">
        <v>256</v>
      </c>
      <c r="B57" s="8" t="s">
        <v>257</v>
      </c>
      <c r="C57" s="13">
        <v>2131.3912</v>
      </c>
      <c r="D57" s="13">
        <v>2327.2298999999998</v>
      </c>
      <c r="E57" s="13">
        <v>2611.4376000000002</v>
      </c>
      <c r="F57" s="13">
        <v>2760.8209999999999</v>
      </c>
      <c r="G57" s="13">
        <v>2928.5927999999999</v>
      </c>
    </row>
    <row r="58" spans="1:11" ht="15.75" customHeight="1" x14ac:dyDescent="0.45">
      <c r="A58" s="10" t="s">
        <v>82</v>
      </c>
      <c r="B58" s="11"/>
      <c r="C58" s="11"/>
      <c r="D58" s="11"/>
      <c r="E58" s="11"/>
      <c r="F58" s="11"/>
      <c r="G58" s="11"/>
    </row>
    <row r="59" spans="1:11" ht="15.75" customHeight="1" x14ac:dyDescent="0.45">
      <c r="A59" s="10" t="s">
        <v>166</v>
      </c>
      <c r="B59" s="10" t="s">
        <v>258</v>
      </c>
      <c r="C59" s="12">
        <v>316.26740000000001</v>
      </c>
      <c r="D59" s="12">
        <v>404.3603</v>
      </c>
      <c r="E59" s="12">
        <v>402.47300000000001</v>
      </c>
      <c r="F59" s="12">
        <v>436.49740000000003</v>
      </c>
      <c r="G59" s="12">
        <v>516.25360000000001</v>
      </c>
    </row>
    <row r="60" spans="1:11" ht="15.75" customHeight="1" x14ac:dyDescent="0.45">
      <c r="A60" s="10" t="s">
        <v>259</v>
      </c>
      <c r="B60" s="10" t="s">
        <v>260</v>
      </c>
      <c r="C60" s="12">
        <v>77.749300000000005</v>
      </c>
      <c r="D60" s="12">
        <v>87.672200000000004</v>
      </c>
      <c r="E60" s="12">
        <v>107.8643</v>
      </c>
      <c r="F60" s="12">
        <v>126.0274</v>
      </c>
      <c r="G60" s="12">
        <v>189.9074</v>
      </c>
    </row>
    <row r="61" spans="1:11" ht="15.75" customHeight="1" x14ac:dyDescent="0.45">
      <c r="A61" s="10" t="s">
        <v>195</v>
      </c>
      <c r="B61" s="10" t="s">
        <v>261</v>
      </c>
      <c r="C61" s="12">
        <v>83.664599999999993</v>
      </c>
      <c r="D61" s="12">
        <v>68.135900000000007</v>
      </c>
      <c r="E61" s="12">
        <v>66.005899999999997</v>
      </c>
      <c r="F61" s="12">
        <v>99.157200000000003</v>
      </c>
      <c r="G61" s="12">
        <v>189.34139999999999</v>
      </c>
    </row>
    <row r="62" spans="1:11" ht="15.75" customHeight="1" x14ac:dyDescent="0.45">
      <c r="A62" s="10" t="s">
        <v>199</v>
      </c>
      <c r="B62" s="10" t="s">
        <v>262</v>
      </c>
      <c r="C62" s="12">
        <v>313.96019999999999</v>
      </c>
      <c r="D62" s="12">
        <v>313.8075</v>
      </c>
      <c r="E62" s="12">
        <v>340.10559999999998</v>
      </c>
      <c r="F62" s="12">
        <v>340.66890000000001</v>
      </c>
      <c r="G62" s="12">
        <v>357.21190000000001</v>
      </c>
    </row>
    <row r="63" spans="1:11" ht="15.75" customHeight="1" x14ac:dyDescent="0.45">
      <c r="A63" s="10" t="s">
        <v>201</v>
      </c>
      <c r="B63" s="10" t="s">
        <v>263</v>
      </c>
      <c r="C63" s="12">
        <v>85.450800000000001</v>
      </c>
      <c r="D63" s="12">
        <v>119.5154</v>
      </c>
      <c r="E63" s="12">
        <v>118.51560000000001</v>
      </c>
      <c r="F63" s="12">
        <v>66.426400000000001</v>
      </c>
      <c r="G63" s="12">
        <v>81.355199999999996</v>
      </c>
    </row>
    <row r="64" spans="1:11" ht="15.75" customHeight="1" x14ac:dyDescent="0.45">
      <c r="A64" s="10" t="s">
        <v>227</v>
      </c>
      <c r="B64" s="10" t="s">
        <v>264</v>
      </c>
      <c r="C64" s="12">
        <v>72.953599999999994</v>
      </c>
      <c r="D64" s="12">
        <v>62.143500000000003</v>
      </c>
      <c r="E64" s="12">
        <v>66.750600000000006</v>
      </c>
      <c r="F64" s="12">
        <v>72.872500000000002</v>
      </c>
      <c r="G64" s="12">
        <v>82.477699999999999</v>
      </c>
    </row>
    <row r="65" spans="1:7" ht="15.75" customHeight="1" x14ac:dyDescent="0.45">
      <c r="A65" s="10" t="s">
        <v>265</v>
      </c>
      <c r="B65" s="10" t="s">
        <v>266</v>
      </c>
      <c r="C65" s="12" t="s">
        <v>30</v>
      </c>
      <c r="D65" s="12" t="s">
        <v>30</v>
      </c>
      <c r="E65" s="12" t="s">
        <v>30</v>
      </c>
      <c r="F65" s="12">
        <v>4.149</v>
      </c>
      <c r="G65" s="12">
        <v>0</v>
      </c>
    </row>
    <row r="66" spans="1:7" ht="15.75" customHeight="1" x14ac:dyDescent="0.45">
      <c r="A66" s="10" t="s">
        <v>238</v>
      </c>
      <c r="B66" s="10" t="s">
        <v>267</v>
      </c>
      <c r="C66" s="12">
        <v>14.186500000000001</v>
      </c>
      <c r="D66" s="12">
        <v>14.0502</v>
      </c>
      <c r="E66" s="12">
        <v>13.8873</v>
      </c>
      <c r="F66" s="12">
        <v>13.632400000000001</v>
      </c>
      <c r="G66" s="12">
        <v>12.9267</v>
      </c>
    </row>
    <row r="67" spans="1:7" ht="15.75" customHeight="1" x14ac:dyDescent="0.45">
      <c r="A67" s="10" t="s">
        <v>240</v>
      </c>
      <c r="B67" s="10" t="s">
        <v>268</v>
      </c>
      <c r="C67" s="12">
        <v>879.41340000000002</v>
      </c>
      <c r="D67" s="12">
        <v>917.49929999999995</v>
      </c>
      <c r="E67" s="12">
        <v>968.24590000000001</v>
      </c>
      <c r="F67" s="12">
        <v>1010.4404</v>
      </c>
      <c r="G67" s="12">
        <v>1008.5893</v>
      </c>
    </row>
    <row r="68" spans="1:7" ht="15.75" customHeight="1" x14ac:dyDescent="0.45">
      <c r="A68" s="10" t="s">
        <v>242</v>
      </c>
      <c r="B68" s="10" t="s">
        <v>269</v>
      </c>
      <c r="C68" s="12">
        <v>1.9272</v>
      </c>
      <c r="D68" s="12">
        <v>-14.142899999999999</v>
      </c>
      <c r="E68" s="12">
        <v>-6.5571000000000002</v>
      </c>
      <c r="F68" s="12">
        <v>-6.4093</v>
      </c>
      <c r="G68" s="12">
        <v>0.26779999999999998</v>
      </c>
    </row>
    <row r="69" spans="1:7" ht="15.75" customHeight="1" x14ac:dyDescent="0.45">
      <c r="A69" s="10" t="s">
        <v>244</v>
      </c>
      <c r="B69" s="10" t="s">
        <v>270</v>
      </c>
      <c r="C69" s="12">
        <v>1042.4613999999999</v>
      </c>
      <c r="D69" s="12">
        <v>1148.3862999999999</v>
      </c>
      <c r="E69" s="12">
        <v>1336.941</v>
      </c>
      <c r="F69" s="12">
        <v>1450.2871</v>
      </c>
      <c r="G69" s="12">
        <v>1466.046</v>
      </c>
    </row>
    <row r="70" spans="1:7" ht="15.75" customHeight="1" x14ac:dyDescent="0.45">
      <c r="A70" s="10" t="s">
        <v>248</v>
      </c>
      <c r="B70" s="10" t="s">
        <v>271</v>
      </c>
      <c r="C70" s="12">
        <v>236.4408</v>
      </c>
      <c r="D70" s="12">
        <v>234.16929999999999</v>
      </c>
      <c r="E70" s="12">
        <v>231.4554</v>
      </c>
      <c r="F70" s="12">
        <v>227.20750000000001</v>
      </c>
      <c r="G70" s="12">
        <v>215.44499999999999</v>
      </c>
    </row>
    <row r="71" spans="1:7" ht="15.75" customHeight="1" x14ac:dyDescent="0.45">
      <c r="A71" s="10" t="s">
        <v>250</v>
      </c>
      <c r="B71" s="10" t="s">
        <v>272</v>
      </c>
      <c r="C71" s="14">
        <v>0.06</v>
      </c>
      <c r="D71" s="14">
        <v>0.06</v>
      </c>
      <c r="E71" s="14">
        <v>0.06</v>
      </c>
      <c r="F71" s="14">
        <v>0.06</v>
      </c>
      <c r="G71" s="14">
        <v>0.06</v>
      </c>
    </row>
    <row r="72" spans="1:7" ht="15.75" customHeight="1" x14ac:dyDescent="0.45">
      <c r="A72" s="10" t="s">
        <v>273</v>
      </c>
      <c r="B72" s="10" t="s">
        <v>274</v>
      </c>
      <c r="C72" s="12">
        <v>235.01429999999999</v>
      </c>
      <c r="D72" s="12">
        <v>304.18400000000003</v>
      </c>
      <c r="E72" s="12">
        <v>283.1266</v>
      </c>
      <c r="F72" s="12">
        <v>307.09879999999998</v>
      </c>
      <c r="G72" s="12">
        <v>280.64499999999998</v>
      </c>
    </row>
    <row r="73" spans="1:7" ht="15.75" customHeight="1" x14ac:dyDescent="0.45">
      <c r="A73" s="10" t="s">
        <v>275</v>
      </c>
      <c r="B73" s="10" t="s">
        <v>276</v>
      </c>
      <c r="C73" s="12">
        <v>34.032200000000003</v>
      </c>
      <c r="D73" s="12">
        <v>45.512300000000003</v>
      </c>
      <c r="E73" s="12">
        <v>46.344000000000001</v>
      </c>
      <c r="F73" s="12">
        <v>48.098700000000001</v>
      </c>
      <c r="G73" s="12">
        <v>64.473399999999998</v>
      </c>
    </row>
    <row r="74" spans="1:7" ht="15.75" customHeight="1" x14ac:dyDescent="0.45">
      <c r="A74" s="10" t="s">
        <v>277</v>
      </c>
      <c r="B74" s="10" t="s">
        <v>278</v>
      </c>
      <c r="C74" s="12">
        <v>47.220999999999997</v>
      </c>
      <c r="D74" s="12">
        <v>54.664000000000001</v>
      </c>
      <c r="E74" s="12">
        <v>73.002499999999998</v>
      </c>
      <c r="F74" s="12">
        <v>81.299899999999994</v>
      </c>
      <c r="G74" s="12">
        <v>171.1352</v>
      </c>
    </row>
    <row r="75" spans="1:7" ht="15.75" customHeight="1" x14ac:dyDescent="0.45">
      <c r="A75" s="10" t="s">
        <v>279</v>
      </c>
      <c r="B75" s="10" t="s">
        <v>280</v>
      </c>
      <c r="C75" s="12">
        <v>150</v>
      </c>
      <c r="D75" s="12">
        <v>150</v>
      </c>
      <c r="E75" s="12">
        <v>250</v>
      </c>
      <c r="F75" s="12">
        <v>250</v>
      </c>
      <c r="G75" s="12">
        <v>250</v>
      </c>
    </row>
    <row r="76" spans="1:7" ht="15.75" customHeight="1" x14ac:dyDescent="0.45">
      <c r="A76" s="10" t="s">
        <v>281</v>
      </c>
      <c r="B76" s="10" t="s">
        <v>282</v>
      </c>
      <c r="C76" s="12">
        <v>150</v>
      </c>
      <c r="D76" s="12">
        <v>150</v>
      </c>
      <c r="E76" s="12">
        <v>250</v>
      </c>
      <c r="F76" s="12">
        <v>250</v>
      </c>
      <c r="G76" s="12">
        <v>250</v>
      </c>
    </row>
    <row r="77" spans="1:7" ht="15.75" customHeight="1" x14ac:dyDescent="0.45">
      <c r="A77" s="88" t="s">
        <v>283</v>
      </c>
      <c r="B77" s="10" t="s">
        <v>284</v>
      </c>
      <c r="C77" s="12">
        <v>2.4001000000000001</v>
      </c>
      <c r="D77" s="12">
        <v>2.2002000000000002</v>
      </c>
      <c r="E77" s="12">
        <v>3.7410999999999999</v>
      </c>
      <c r="F77" s="12">
        <v>4.9660000000000002</v>
      </c>
      <c r="G77" s="12">
        <v>9.1442999999999994</v>
      </c>
    </row>
    <row r="78" spans="1:7" ht="15.75" customHeight="1" x14ac:dyDescent="0.45">
      <c r="A78" s="10" t="s">
        <v>285</v>
      </c>
      <c r="B78" s="10" t="s">
        <v>286</v>
      </c>
      <c r="C78" s="12">
        <v>1.3529</v>
      </c>
      <c r="D78" s="12">
        <v>1.4295</v>
      </c>
      <c r="E78" s="12">
        <v>1.8573</v>
      </c>
      <c r="F78" s="12">
        <v>1.9025000000000001</v>
      </c>
      <c r="G78" s="12">
        <v>3.8727999999999998</v>
      </c>
    </row>
    <row r="79" spans="1:7" ht="15.75" customHeight="1" x14ac:dyDescent="0.45">
      <c r="A79" s="10" t="s">
        <v>287</v>
      </c>
      <c r="B79" s="10" t="s">
        <v>288</v>
      </c>
      <c r="C79" s="12">
        <v>0.87280000000000002</v>
      </c>
      <c r="D79" s="12">
        <v>0.54790000000000005</v>
      </c>
      <c r="E79" s="12">
        <v>1.0919000000000001</v>
      </c>
      <c r="F79" s="12">
        <v>1.3515999999999999</v>
      </c>
      <c r="G79" s="12">
        <v>2.3588</v>
      </c>
    </row>
    <row r="80" spans="1:7" ht="15.75" customHeight="1" x14ac:dyDescent="0.45">
      <c r="A80" s="10" t="s">
        <v>289</v>
      </c>
      <c r="B80" s="10" t="s">
        <v>290</v>
      </c>
      <c r="C80" s="12">
        <v>0.16669999999999999</v>
      </c>
      <c r="D80" s="12">
        <v>0.1845</v>
      </c>
      <c r="E80" s="12">
        <v>0.54530000000000001</v>
      </c>
      <c r="F80" s="12">
        <v>0.94899999999999995</v>
      </c>
      <c r="G80" s="12">
        <v>1.8475999999999999</v>
      </c>
    </row>
    <row r="81" spans="1:7" ht="15.75" customHeight="1" x14ac:dyDescent="0.45">
      <c r="A81" s="10" t="s">
        <v>291</v>
      </c>
      <c r="B81" s="10" t="s">
        <v>292</v>
      </c>
      <c r="C81" s="12">
        <v>7.4000000000000003E-3</v>
      </c>
      <c r="D81" s="12">
        <v>3.7400000000000003E-2</v>
      </c>
      <c r="E81" s="12">
        <v>0.2427</v>
      </c>
      <c r="F81" s="12">
        <v>0.68130000000000002</v>
      </c>
      <c r="G81" s="12">
        <v>0.77869999999999995</v>
      </c>
    </row>
    <row r="82" spans="1:7" ht="15.75" customHeight="1" x14ac:dyDescent="0.45">
      <c r="A82" s="10" t="s">
        <v>293</v>
      </c>
      <c r="B82" s="10" t="s">
        <v>294</v>
      </c>
      <c r="C82" s="12" t="s">
        <v>30</v>
      </c>
      <c r="D82" s="12" t="s">
        <v>30</v>
      </c>
      <c r="E82" s="12" t="s">
        <v>30</v>
      </c>
      <c r="F82" s="12" t="s">
        <v>30</v>
      </c>
      <c r="G82" s="12">
        <v>0.2157</v>
      </c>
    </row>
    <row r="83" spans="1:7" ht="15.75" customHeight="1" x14ac:dyDescent="0.45">
      <c r="A83" s="10" t="s">
        <v>295</v>
      </c>
      <c r="B83" s="10" t="s">
        <v>296</v>
      </c>
      <c r="C83" s="12">
        <v>5.0000000000000001E-4</v>
      </c>
      <c r="D83" s="12">
        <v>1E-3</v>
      </c>
      <c r="E83" s="12">
        <v>3.8E-3</v>
      </c>
      <c r="F83" s="12">
        <v>8.1600000000000006E-2</v>
      </c>
      <c r="G83" s="12">
        <v>7.0599999999999996E-2</v>
      </c>
    </row>
    <row r="84" spans="1:7" ht="15.75" customHeight="1" x14ac:dyDescent="0.45">
      <c r="A84" s="10" t="s">
        <v>297</v>
      </c>
      <c r="B84" s="10" t="s">
        <v>298</v>
      </c>
      <c r="C84" s="12">
        <v>72.953599999999994</v>
      </c>
      <c r="D84" s="12" t="s">
        <v>30</v>
      </c>
      <c r="E84" s="12" t="s">
        <v>30</v>
      </c>
      <c r="F84" s="12" t="s">
        <v>30</v>
      </c>
      <c r="G84" s="12" t="s">
        <v>30</v>
      </c>
    </row>
    <row r="85" spans="1:7" ht="15.75" customHeight="1" x14ac:dyDescent="0.45">
      <c r="A85" s="10" t="s">
        <v>299</v>
      </c>
      <c r="B85" s="10" t="s">
        <v>300</v>
      </c>
      <c r="C85" s="12">
        <v>77.749300000000005</v>
      </c>
      <c r="D85" s="12">
        <v>87.672200000000004</v>
      </c>
      <c r="E85" s="12">
        <v>107.8643</v>
      </c>
      <c r="F85" s="12">
        <v>126.0274</v>
      </c>
      <c r="G85" s="12">
        <v>189.9074</v>
      </c>
    </row>
    <row r="86" spans="1:7" ht="15.75" customHeight="1" x14ac:dyDescent="0.45">
      <c r="A86" s="10" t="s">
        <v>301</v>
      </c>
      <c r="B86" s="10" t="s">
        <v>302</v>
      </c>
      <c r="C86" s="12">
        <v>3.1762000000000001</v>
      </c>
      <c r="D86" s="12">
        <v>2.9670999999999998</v>
      </c>
      <c r="E86" s="12">
        <v>2.9670999999999998</v>
      </c>
      <c r="F86" s="12">
        <v>2.6652</v>
      </c>
      <c r="G86" s="12">
        <v>2.0369000000000002</v>
      </c>
    </row>
    <row r="87" spans="1:7" ht="15.75" customHeight="1" x14ac:dyDescent="0.45">
      <c r="A87" s="10" t="s">
        <v>252</v>
      </c>
      <c r="B87" s="10" t="s">
        <v>303</v>
      </c>
      <c r="C87" s="12">
        <v>1937.9884999999999</v>
      </c>
      <c r="D87" s="12">
        <v>2065.7928000000002</v>
      </c>
      <c r="E87" s="12">
        <v>2312.5171</v>
      </c>
      <c r="F87" s="12">
        <v>2472.0997000000002</v>
      </c>
      <c r="G87" s="12">
        <v>2487.8296999999998</v>
      </c>
    </row>
    <row r="88" spans="1:7" ht="15.75" customHeight="1" x14ac:dyDescent="0.45">
      <c r="A88" s="10" t="s">
        <v>304</v>
      </c>
      <c r="B88" s="10" t="s">
        <v>305</v>
      </c>
      <c r="C88" s="14">
        <v>4998</v>
      </c>
      <c r="D88" s="14">
        <v>5466</v>
      </c>
      <c r="E88" s="14">
        <v>6245</v>
      </c>
      <c r="F88" s="14">
        <v>6184</v>
      </c>
      <c r="G88" s="14">
        <v>6398</v>
      </c>
    </row>
    <row r="89" spans="1:7" ht="15.75" customHeight="1" x14ac:dyDescent="0.45">
      <c r="A89" s="10" t="s">
        <v>306</v>
      </c>
      <c r="B89" s="10" t="s">
        <v>307</v>
      </c>
      <c r="C89" s="12">
        <v>236.42140000000001</v>
      </c>
      <c r="D89" s="12">
        <v>234.17779999999999</v>
      </c>
      <c r="E89" s="12">
        <v>231.49189999999999</v>
      </c>
      <c r="F89" s="12">
        <v>227.19569999999999</v>
      </c>
      <c r="G89" s="12">
        <v>215.4024</v>
      </c>
    </row>
    <row r="90" spans="1:7" ht="15.75" customHeight="1" x14ac:dyDescent="0.45">
      <c r="A90" s="10" t="s">
        <v>308</v>
      </c>
      <c r="B90" s="10" t="s">
        <v>309</v>
      </c>
      <c r="C90" s="12">
        <v>96</v>
      </c>
      <c r="D90" s="12">
        <v>96</v>
      </c>
      <c r="E90" s="12">
        <v>96</v>
      </c>
      <c r="F90" s="12">
        <v>96</v>
      </c>
      <c r="G90" s="12" t="s">
        <v>30</v>
      </c>
    </row>
    <row r="91" spans="1:7" ht="15.75" customHeight="1" x14ac:dyDescent="0.45">
      <c r="A91" s="10" t="s">
        <v>310</v>
      </c>
      <c r="B91" s="10" t="s">
        <v>311</v>
      </c>
      <c r="C91" s="12">
        <v>7.5250000000000004</v>
      </c>
      <c r="D91" s="12">
        <v>3.2250000000000001</v>
      </c>
      <c r="E91" s="12">
        <v>0</v>
      </c>
      <c r="F91" s="12">
        <v>0</v>
      </c>
      <c r="G91" s="12">
        <v>0</v>
      </c>
    </row>
    <row r="92" spans="1:7" ht="15.75" customHeight="1" x14ac:dyDescent="0.45">
      <c r="A92" s="10" t="s">
        <v>312</v>
      </c>
      <c r="B92" s="10" t="s">
        <v>313</v>
      </c>
      <c r="C92" s="12">
        <v>159.22499999999999</v>
      </c>
      <c r="D92" s="12">
        <v>178.52500000000001</v>
      </c>
      <c r="E92" s="12">
        <v>196.75</v>
      </c>
      <c r="F92" s="12">
        <v>213.33879999999999</v>
      </c>
      <c r="G92" s="12">
        <v>227.24250000000001</v>
      </c>
    </row>
    <row r="93" spans="1:7" ht="15.75" customHeight="1" x14ac:dyDescent="0.45">
      <c r="A93" s="10" t="s">
        <v>314</v>
      </c>
      <c r="B93" s="10" t="s">
        <v>315</v>
      </c>
      <c r="C93" s="12">
        <v>1.4339999999999999</v>
      </c>
      <c r="D93" s="12">
        <v>1.2190000000000001</v>
      </c>
      <c r="E93" s="12">
        <v>0.76800000000000002</v>
      </c>
      <c r="F93" s="12">
        <v>0.29199999999999998</v>
      </c>
      <c r="G93" s="12">
        <v>0.52800000000000002</v>
      </c>
    </row>
    <row r="94" spans="1:7" ht="15.75" customHeight="1" x14ac:dyDescent="0.45">
      <c r="A94" s="88" t="s">
        <v>316</v>
      </c>
      <c r="B94" s="10" t="s">
        <v>317</v>
      </c>
      <c r="C94" s="12">
        <v>4.5350000000000001</v>
      </c>
      <c r="D94" s="12">
        <v>4.8719999999999999</v>
      </c>
      <c r="E94" s="12">
        <v>4.3869999999999996</v>
      </c>
      <c r="F94" s="12">
        <v>3.738</v>
      </c>
      <c r="G94" s="12">
        <v>3.3650000000000002</v>
      </c>
    </row>
    <row r="95" spans="1:7" ht="15.75" customHeight="1" x14ac:dyDescent="0.45">
      <c r="A95" s="10" t="s">
        <v>318</v>
      </c>
      <c r="B95" s="10" t="s">
        <v>319</v>
      </c>
      <c r="C95" s="12">
        <v>1.1839999999999999</v>
      </c>
      <c r="D95" s="12">
        <v>0.53</v>
      </c>
      <c r="E95" s="12">
        <v>1.0229999999999999</v>
      </c>
      <c r="F95" s="12">
        <v>0.78400000000000003</v>
      </c>
      <c r="G95" s="12">
        <v>0.33600000000000002</v>
      </c>
    </row>
    <row r="96" spans="1:7" ht="15.75" customHeight="1" x14ac:dyDescent="0.45">
      <c r="A96" s="10" t="s">
        <v>320</v>
      </c>
      <c r="B96" s="10" t="s">
        <v>321</v>
      </c>
      <c r="C96" s="12">
        <v>0</v>
      </c>
      <c r="D96" s="12" t="s">
        <v>30</v>
      </c>
      <c r="E96" s="12" t="s">
        <v>30</v>
      </c>
      <c r="F96" s="12" t="s">
        <v>30</v>
      </c>
      <c r="G96" s="12" t="s">
        <v>30</v>
      </c>
    </row>
    <row r="97" spans="1:7" ht="15.75" customHeight="1" x14ac:dyDescent="0.45">
      <c r="A97" s="10" t="s">
        <v>322</v>
      </c>
      <c r="B97" s="10" t="s">
        <v>323</v>
      </c>
      <c r="C97" s="12">
        <v>0</v>
      </c>
      <c r="D97" s="12">
        <v>0</v>
      </c>
      <c r="E97" s="12" t="s">
        <v>30</v>
      </c>
      <c r="F97" s="12" t="s">
        <v>30</v>
      </c>
      <c r="G97" s="12" t="s">
        <v>30</v>
      </c>
    </row>
    <row r="98" spans="1:7" ht="15.75" customHeight="1" x14ac:dyDescent="0.45">
      <c r="A98" s="10" t="s">
        <v>324</v>
      </c>
      <c r="B98" s="10" t="s">
        <v>325</v>
      </c>
      <c r="C98" s="12" t="s">
        <v>30</v>
      </c>
      <c r="D98" s="12" t="s">
        <v>30</v>
      </c>
      <c r="E98" s="12" t="s">
        <v>30</v>
      </c>
      <c r="F98" s="12" t="s">
        <v>30</v>
      </c>
      <c r="G98" s="12" t="s">
        <v>30</v>
      </c>
    </row>
    <row r="99" spans="1:7" ht="15.75" customHeight="1" x14ac:dyDescent="0.45">
      <c r="A99" s="10" t="s">
        <v>326</v>
      </c>
      <c r="B99" s="10" t="s">
        <v>327</v>
      </c>
      <c r="C99" s="12">
        <v>9.5952000000000002</v>
      </c>
      <c r="D99" s="12">
        <v>7.3314000000000004</v>
      </c>
      <c r="E99" s="12">
        <v>3.4853000000000001</v>
      </c>
      <c r="F99" s="12">
        <v>6.4017999999999997</v>
      </c>
      <c r="G99" s="12">
        <v>11.559200000000001</v>
      </c>
    </row>
    <row r="100" spans="1:7" ht="15.75" customHeight="1" x14ac:dyDescent="0.45">
      <c r="A100" s="10" t="s">
        <v>328</v>
      </c>
      <c r="B100" s="10" t="s">
        <v>329</v>
      </c>
      <c r="C100" s="12">
        <v>2.3824999999999998</v>
      </c>
      <c r="D100" s="12">
        <v>2.1495000000000002</v>
      </c>
      <c r="E100" s="12">
        <v>3.5701999999999998</v>
      </c>
      <c r="F100" s="12">
        <v>4.6828000000000003</v>
      </c>
      <c r="G100" s="12">
        <v>8.7285000000000004</v>
      </c>
    </row>
    <row r="101" spans="1:7" ht="15.75" customHeight="1" x14ac:dyDescent="0.45">
      <c r="A101" s="10" t="s">
        <v>330</v>
      </c>
      <c r="B101" s="10" t="s">
        <v>331</v>
      </c>
      <c r="C101" s="12">
        <v>267.77359999999999</v>
      </c>
      <c r="D101" s="12">
        <v>222.11660000000001</v>
      </c>
      <c r="E101" s="12">
        <v>248.2533</v>
      </c>
      <c r="F101" s="12">
        <v>283.17360000000002</v>
      </c>
      <c r="G101" s="12">
        <v>146.57040000000001</v>
      </c>
    </row>
    <row r="102" spans="1:7" ht="15.75" customHeight="1" x14ac:dyDescent="0.45">
      <c r="A102" s="10" t="s">
        <v>332</v>
      </c>
      <c r="B102" s="10" t="s">
        <v>333</v>
      </c>
      <c r="C102" s="12">
        <v>190.8374</v>
      </c>
      <c r="D102" s="12">
        <v>156.4281</v>
      </c>
      <c r="E102" s="12">
        <v>163.54490000000001</v>
      </c>
      <c r="F102" s="12">
        <v>156.1534</v>
      </c>
      <c r="G102" s="12">
        <v>110.8927</v>
      </c>
    </row>
    <row r="103" spans="1:7" ht="15.75" customHeight="1" x14ac:dyDescent="0.45">
      <c r="A103" s="10" t="s">
        <v>334</v>
      </c>
      <c r="B103" s="10" t="s">
        <v>335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</row>
    <row r="104" spans="1:7" ht="15.75" customHeight="1" x14ac:dyDescent="0.45">
      <c r="A104" s="10" t="s">
        <v>336</v>
      </c>
      <c r="B104" s="10" t="s">
        <v>337</v>
      </c>
      <c r="C104" s="12">
        <v>458.61099999999999</v>
      </c>
      <c r="D104" s="12">
        <v>378.54480000000001</v>
      </c>
      <c r="E104" s="12">
        <v>411.79820000000001</v>
      </c>
      <c r="F104" s="12">
        <v>439.327</v>
      </c>
      <c r="G104" s="12">
        <v>257.4631</v>
      </c>
    </row>
    <row r="105" spans="1:7" ht="15.75" customHeight="1" x14ac:dyDescent="0.45">
      <c r="A105" s="10" t="s">
        <v>338</v>
      </c>
      <c r="B105" s="10" t="s">
        <v>339</v>
      </c>
      <c r="C105" s="12">
        <v>3.5261999999999998</v>
      </c>
      <c r="D105" s="12">
        <v>16.807300000000001</v>
      </c>
      <c r="E105" s="12">
        <v>9.9533000000000005</v>
      </c>
      <c r="F105" s="12">
        <v>14.9436</v>
      </c>
      <c r="G105" s="12">
        <v>2.7473000000000001</v>
      </c>
    </row>
    <row r="106" spans="1:7" ht="15.75" customHeight="1" x14ac:dyDescent="0.45">
      <c r="A106" s="10" t="s">
        <v>340</v>
      </c>
      <c r="B106" s="10" t="s">
        <v>341</v>
      </c>
      <c r="C106" s="12" t="s">
        <v>30</v>
      </c>
      <c r="D106" s="12" t="s">
        <v>30</v>
      </c>
      <c r="E106" s="12" t="s">
        <v>30</v>
      </c>
      <c r="F106" s="12" t="s">
        <v>30</v>
      </c>
      <c r="G106" s="12" t="s">
        <v>30</v>
      </c>
    </row>
    <row r="107" spans="1:7" ht="15.75" customHeight="1" x14ac:dyDescent="0.45">
      <c r="A107" s="10" t="s">
        <v>342</v>
      </c>
      <c r="B107" s="10" t="s">
        <v>343</v>
      </c>
      <c r="C107" s="12">
        <v>78.090999999999994</v>
      </c>
      <c r="D107" s="12">
        <v>36.6295</v>
      </c>
      <c r="E107" s="12">
        <v>60.8142</v>
      </c>
      <c r="F107" s="12">
        <v>63.076099999999997</v>
      </c>
      <c r="G107" s="12">
        <v>60.481000000000002</v>
      </c>
    </row>
    <row r="108" spans="1:7" ht="15.75" customHeight="1" x14ac:dyDescent="0.45">
      <c r="A108" s="10" t="s">
        <v>344</v>
      </c>
      <c r="B108" s="10" t="s">
        <v>345</v>
      </c>
      <c r="C108" s="12">
        <v>194.40190000000001</v>
      </c>
      <c r="D108" s="12">
        <v>157.14920000000001</v>
      </c>
      <c r="E108" s="12">
        <v>165.28729999999999</v>
      </c>
      <c r="F108" s="12">
        <v>156.9051</v>
      </c>
      <c r="G108" s="12">
        <v>110.8927</v>
      </c>
    </row>
    <row r="109" spans="1:7" ht="15.75" customHeight="1" x14ac:dyDescent="0.45">
      <c r="A109" s="10" t="s">
        <v>346</v>
      </c>
      <c r="B109" s="10" t="s">
        <v>347</v>
      </c>
      <c r="C109" s="12" t="s">
        <v>30</v>
      </c>
      <c r="D109" s="12" t="s">
        <v>30</v>
      </c>
      <c r="E109" s="12" t="s">
        <v>30</v>
      </c>
      <c r="F109" s="12" t="s">
        <v>30</v>
      </c>
      <c r="G109" s="12" t="s">
        <v>30</v>
      </c>
    </row>
    <row r="110" spans="1:7" ht="15.75" customHeight="1" x14ac:dyDescent="0.45">
      <c r="A110" s="10" t="s">
        <v>348</v>
      </c>
      <c r="B110" s="10" t="s">
        <v>349</v>
      </c>
      <c r="C110" s="12">
        <v>2.3824999999999998</v>
      </c>
      <c r="D110" s="12">
        <v>2.1495000000000002</v>
      </c>
      <c r="E110" s="12">
        <v>3.5701999999999998</v>
      </c>
      <c r="F110" s="12">
        <v>4.6828000000000003</v>
      </c>
      <c r="G110" s="12">
        <v>8.7285000000000004</v>
      </c>
    </row>
    <row r="111" spans="1:7" ht="15.75" customHeight="1" x14ac:dyDescent="0.45">
      <c r="A111" s="10" t="s">
        <v>350</v>
      </c>
      <c r="B111" s="10" t="s">
        <v>351</v>
      </c>
      <c r="C111" s="12">
        <v>112.7847</v>
      </c>
      <c r="D111" s="12">
        <v>103.7124</v>
      </c>
      <c r="E111" s="12">
        <v>94.519800000000004</v>
      </c>
      <c r="F111" s="12">
        <v>78.885400000000004</v>
      </c>
      <c r="G111" s="12">
        <v>47.664499999999997</v>
      </c>
    </row>
    <row r="112" spans="1:7" ht="15.75" customHeight="1" x14ac:dyDescent="0.45">
      <c r="A112" s="10" t="s">
        <v>352</v>
      </c>
      <c r="B112" s="10" t="s">
        <v>353</v>
      </c>
      <c r="C112" s="14">
        <v>6.59</v>
      </c>
      <c r="D112" s="14">
        <v>6.42</v>
      </c>
      <c r="E112" s="14">
        <v>7.66</v>
      </c>
      <c r="F112" s="14">
        <v>7.98</v>
      </c>
      <c r="G112" s="14">
        <v>5.49</v>
      </c>
    </row>
    <row r="113" spans="1:7" ht="15.75" customHeight="1" x14ac:dyDescent="0.45">
      <c r="A113" s="10" t="s">
        <v>354</v>
      </c>
      <c r="B113" s="10" t="s">
        <v>355</v>
      </c>
      <c r="C113" s="14">
        <v>1.3</v>
      </c>
      <c r="D113" s="14">
        <v>3.4</v>
      </c>
      <c r="E113" s="14">
        <v>4</v>
      </c>
      <c r="F113" s="14">
        <v>4.0999999999999996</v>
      </c>
      <c r="G113" s="14">
        <v>3.8</v>
      </c>
    </row>
    <row r="114" spans="1:7" ht="15.75" customHeight="1" x14ac:dyDescent="0.45">
      <c r="A114" s="10" t="s">
        <v>356</v>
      </c>
      <c r="B114" s="10" t="s">
        <v>357</v>
      </c>
      <c r="C114" s="14">
        <v>4.0999999999999996</v>
      </c>
      <c r="D114" s="14">
        <v>4.2</v>
      </c>
      <c r="E114" s="14">
        <v>4.2</v>
      </c>
      <c r="F114" s="14">
        <v>4.0999999999999996</v>
      </c>
      <c r="G114" s="14">
        <v>4.0999999999999996</v>
      </c>
    </row>
    <row r="115" spans="1:7" ht="15.75" customHeight="1" x14ac:dyDescent="0.45">
      <c r="A115" s="10" t="s">
        <v>358</v>
      </c>
      <c r="B115" s="10" t="s">
        <v>359</v>
      </c>
      <c r="C115" s="14">
        <v>27.6</v>
      </c>
      <c r="D115" s="14">
        <v>28.8</v>
      </c>
      <c r="E115" s="14">
        <v>28.8</v>
      </c>
      <c r="F115" s="14">
        <v>28</v>
      </c>
      <c r="G115" s="14">
        <v>25.6</v>
      </c>
    </row>
    <row r="116" spans="1:7" ht="15.75" customHeight="1" x14ac:dyDescent="0.45">
      <c r="A116" s="10" t="s">
        <v>360</v>
      </c>
      <c r="B116" s="10" t="s">
        <v>361</v>
      </c>
      <c r="C116" s="14">
        <v>1.8</v>
      </c>
      <c r="D116" s="14">
        <v>1.8</v>
      </c>
      <c r="E116" s="14">
        <v>1.7</v>
      </c>
      <c r="F116" s="14">
        <v>1.6</v>
      </c>
      <c r="G116" s="14">
        <v>1.6</v>
      </c>
    </row>
    <row r="117" spans="1:7" ht="15.75" customHeight="1" x14ac:dyDescent="0.45">
      <c r="A117" s="10" t="s">
        <v>362</v>
      </c>
      <c r="B117" s="10" t="s">
        <v>363</v>
      </c>
      <c r="C117" s="14">
        <v>23</v>
      </c>
      <c r="D117" s="14">
        <v>26</v>
      </c>
      <c r="E117" s="14">
        <v>29</v>
      </c>
      <c r="F117" s="14">
        <v>29</v>
      </c>
      <c r="G117" s="14">
        <v>29</v>
      </c>
    </row>
    <row r="118" spans="1:7" ht="15.75" customHeight="1" x14ac:dyDescent="0.45">
      <c r="A118" s="10" t="s">
        <v>364</v>
      </c>
      <c r="B118" s="10" t="s">
        <v>365</v>
      </c>
      <c r="C118" s="14">
        <v>27</v>
      </c>
      <c r="D118" s="14">
        <v>28</v>
      </c>
      <c r="E118" s="14">
        <v>29</v>
      </c>
      <c r="F118" s="14">
        <v>30</v>
      </c>
      <c r="G118" s="14">
        <v>30</v>
      </c>
    </row>
    <row r="119" spans="1:7" ht="15.75" customHeight="1" x14ac:dyDescent="0.45">
      <c r="A119" s="10" t="s">
        <v>366</v>
      </c>
      <c r="B119" s="10" t="s">
        <v>367</v>
      </c>
      <c r="C119" s="12">
        <v>1.38</v>
      </c>
      <c r="D119" s="12">
        <v>1.96</v>
      </c>
      <c r="E119" s="12">
        <v>1.9419999999999999</v>
      </c>
      <c r="F119" s="12">
        <v>2.1040000000000001</v>
      </c>
      <c r="G119" s="12">
        <v>2.0760000000000001</v>
      </c>
    </row>
    <row r="120" spans="1:7" ht="15.75" customHeight="1" x14ac:dyDescent="0.45">
      <c r="A120" s="10" t="s">
        <v>368</v>
      </c>
      <c r="B120" s="10" t="s">
        <v>369</v>
      </c>
      <c r="C120" s="12">
        <v>262.31169999999997</v>
      </c>
      <c r="D120" s="12">
        <v>214.75460000000001</v>
      </c>
      <c r="E120" s="12">
        <v>214.75460000000001</v>
      </c>
      <c r="F120" s="12">
        <v>233.31880000000001</v>
      </c>
      <c r="G120" s="12">
        <v>145.64570000000001</v>
      </c>
    </row>
    <row r="121" spans="1:7" ht="15.75" customHeight="1" x14ac:dyDescent="0.45">
      <c r="A121" s="10" t="s">
        <v>370</v>
      </c>
      <c r="B121" s="10" t="s">
        <v>371</v>
      </c>
      <c r="C121" s="12">
        <v>5.4619</v>
      </c>
      <c r="D121" s="12">
        <v>7.3620000000000001</v>
      </c>
      <c r="E121" s="12">
        <v>21.818300000000001</v>
      </c>
      <c r="F121" s="12">
        <v>49.854799999999997</v>
      </c>
      <c r="G121" s="12">
        <v>0.92469999999999997</v>
      </c>
    </row>
    <row r="122" spans="1:7" ht="15.75" customHeight="1" x14ac:dyDescent="0.45">
      <c r="A122" s="10" t="s">
        <v>372</v>
      </c>
      <c r="B122" s="10" t="s">
        <v>373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</row>
    <row r="123" spans="1:7" ht="15.75" customHeight="1" x14ac:dyDescent="0.45">
      <c r="A123" s="10" t="s">
        <v>374</v>
      </c>
      <c r="B123" s="10" t="s">
        <v>375</v>
      </c>
      <c r="C123" s="12">
        <v>190.8374</v>
      </c>
      <c r="D123" s="12">
        <v>156.4281</v>
      </c>
      <c r="E123" s="12">
        <v>43.530299999999997</v>
      </c>
      <c r="F123" s="12">
        <v>156.1534</v>
      </c>
      <c r="G123" s="12">
        <v>110.8927</v>
      </c>
    </row>
    <row r="124" spans="1:7" ht="15.75" customHeight="1" x14ac:dyDescent="0.45">
      <c r="A124" s="10" t="s">
        <v>376</v>
      </c>
      <c r="B124" s="10" t="s">
        <v>377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</row>
    <row r="125" spans="1:7" ht="15.75" customHeight="1" x14ac:dyDescent="0.45">
      <c r="A125" s="10" t="s">
        <v>378</v>
      </c>
      <c r="B125" s="10" t="s">
        <v>379</v>
      </c>
      <c r="C125" s="12">
        <v>0</v>
      </c>
      <c r="D125" s="12">
        <v>0</v>
      </c>
      <c r="E125" s="12">
        <v>0</v>
      </c>
      <c r="F125" s="12">
        <v>0</v>
      </c>
      <c r="G125" s="12">
        <v>0</v>
      </c>
    </row>
    <row r="126" spans="1:7" ht="15.75" customHeight="1" x14ac:dyDescent="0.45">
      <c r="A126" s="10" t="s">
        <v>380</v>
      </c>
      <c r="B126" s="10" t="s">
        <v>381</v>
      </c>
      <c r="C126" s="12">
        <v>262.31169999999997</v>
      </c>
      <c r="D126" s="12">
        <v>214.75460000000001</v>
      </c>
      <c r="E126" s="12">
        <v>226.435</v>
      </c>
      <c r="F126" s="12">
        <v>233.31880000000001</v>
      </c>
      <c r="G126" s="12">
        <v>145.64570000000001</v>
      </c>
    </row>
    <row r="127" spans="1:7" ht="15.75" customHeight="1" x14ac:dyDescent="0.45">
      <c r="A127" s="10" t="s">
        <v>382</v>
      </c>
      <c r="B127" s="10" t="s">
        <v>383</v>
      </c>
      <c r="C127" s="12">
        <v>196.29929999999999</v>
      </c>
      <c r="D127" s="12">
        <v>163.7901</v>
      </c>
      <c r="E127" s="12">
        <v>185.36320000000001</v>
      </c>
      <c r="F127" s="12">
        <v>206.00819999999999</v>
      </c>
      <c r="G127" s="12">
        <v>111.81740000000001</v>
      </c>
    </row>
    <row r="128" spans="1:7" ht="15.75" customHeight="1" x14ac:dyDescent="0.45">
      <c r="A128" s="10" t="s">
        <v>384</v>
      </c>
      <c r="B128" s="10" t="s">
        <v>385</v>
      </c>
      <c r="C128" s="12">
        <v>4.5330000000000004</v>
      </c>
      <c r="D128" s="12">
        <v>4.5350000000000001</v>
      </c>
      <c r="E128" s="12">
        <v>4.8719999999999999</v>
      </c>
      <c r="F128" s="12">
        <v>4.3869999999999996</v>
      </c>
      <c r="G128" s="12">
        <v>3.738</v>
      </c>
    </row>
    <row r="129" spans="1:7" ht="15.75" customHeight="1" x14ac:dyDescent="0.45">
      <c r="A129" s="10" t="s">
        <v>386</v>
      </c>
      <c r="B129" s="10" t="s">
        <v>387</v>
      </c>
      <c r="C129" s="12">
        <v>0.248</v>
      </c>
      <c r="D129" s="12">
        <v>0.35199999999999998</v>
      </c>
      <c r="E129" s="12">
        <v>0.23</v>
      </c>
      <c r="F129" s="12">
        <v>0.157</v>
      </c>
      <c r="G129" s="12">
        <v>0.56499999999999995</v>
      </c>
    </row>
    <row r="130" spans="1:7" ht="15.75" customHeight="1" x14ac:dyDescent="0.45">
      <c r="A130" s="10" t="s">
        <v>388</v>
      </c>
      <c r="B130" s="10" t="s">
        <v>389</v>
      </c>
      <c r="C130" s="12" t="s">
        <v>30</v>
      </c>
      <c r="D130" s="12" t="s">
        <v>30</v>
      </c>
      <c r="E130" s="12" t="s">
        <v>30</v>
      </c>
      <c r="F130" s="12" t="s">
        <v>30</v>
      </c>
      <c r="G130" s="12" t="s">
        <v>30</v>
      </c>
    </row>
    <row r="131" spans="1:7" ht="15.75" customHeight="1" x14ac:dyDescent="0.45">
      <c r="A131" s="10" t="s">
        <v>390</v>
      </c>
      <c r="B131" s="10" t="s">
        <v>391</v>
      </c>
      <c r="C131" s="14">
        <v>33.83</v>
      </c>
      <c r="D131" s="14">
        <v>27.73</v>
      </c>
      <c r="E131" s="14">
        <v>29.34</v>
      </c>
      <c r="F131" s="14">
        <v>30.36</v>
      </c>
      <c r="G131" s="14">
        <v>23.65</v>
      </c>
    </row>
    <row r="132" spans="1:7" ht="15.75" customHeight="1" x14ac:dyDescent="0.45">
      <c r="A132" s="10" t="s">
        <v>392</v>
      </c>
      <c r="B132" s="10" t="s">
        <v>393</v>
      </c>
      <c r="C132" s="12">
        <v>4.8639999999999999</v>
      </c>
      <c r="D132" s="12">
        <v>5.2750000000000004</v>
      </c>
      <c r="E132" s="12">
        <v>4.63</v>
      </c>
      <c r="F132" s="12">
        <v>4.7779999999999996</v>
      </c>
      <c r="G132" s="12">
        <v>5.798</v>
      </c>
    </row>
    <row r="133" spans="1:7" ht="15.75" customHeight="1" x14ac:dyDescent="0.45">
      <c r="A133" s="10" t="s">
        <v>394</v>
      </c>
      <c r="B133" s="10" t="s">
        <v>395</v>
      </c>
      <c r="C133" s="12">
        <v>5.2750000000000004</v>
      </c>
      <c r="D133" s="12">
        <v>4.63</v>
      </c>
      <c r="E133" s="12">
        <v>4.7779999999999996</v>
      </c>
      <c r="F133" s="12">
        <v>5.798</v>
      </c>
      <c r="G133" s="12">
        <v>9.9819999999999993</v>
      </c>
    </row>
    <row r="134" spans="1:7" ht="15.75" customHeight="1" x14ac:dyDescent="0.45">
      <c r="A134" s="10" t="s">
        <v>396</v>
      </c>
      <c r="B134" s="10" t="s">
        <v>397</v>
      </c>
      <c r="C134" s="12">
        <v>1.0229999999999999</v>
      </c>
      <c r="D134" s="12">
        <v>0.95099999999999996</v>
      </c>
      <c r="E134" s="12">
        <v>1.046</v>
      </c>
      <c r="F134" s="12">
        <v>1.35</v>
      </c>
      <c r="G134" s="12">
        <v>1.4510000000000001</v>
      </c>
    </row>
    <row r="135" spans="1:7" ht="15.75" customHeight="1" x14ac:dyDescent="0.45">
      <c r="A135" s="10" t="s">
        <v>398</v>
      </c>
      <c r="B135" s="10" t="s">
        <v>399</v>
      </c>
      <c r="C135" s="12">
        <v>0.36399999999999999</v>
      </c>
      <c r="D135" s="12">
        <v>0.35299999999999998</v>
      </c>
      <c r="E135" s="12">
        <v>0.67100000000000004</v>
      </c>
      <c r="F135" s="12">
        <v>0.86899999999999999</v>
      </c>
      <c r="G135" s="12">
        <v>0.68600000000000005</v>
      </c>
    </row>
    <row r="136" spans="1:7" ht="15.75" customHeight="1" x14ac:dyDescent="0.45">
      <c r="A136" s="10" t="s">
        <v>400</v>
      </c>
      <c r="B136" s="10" t="s">
        <v>401</v>
      </c>
      <c r="C136" s="12">
        <v>-0.97599999999999998</v>
      </c>
      <c r="D136" s="12">
        <v>-1.9490000000000001</v>
      </c>
      <c r="E136" s="12">
        <v>-1.569</v>
      </c>
      <c r="F136" s="12">
        <v>-1.1990000000000001</v>
      </c>
      <c r="G136" s="12">
        <v>2.1970000000000001</v>
      </c>
    </row>
    <row r="137" spans="1:7" ht="15.75" customHeight="1" x14ac:dyDescent="0.45">
      <c r="A137" s="10" t="s">
        <v>402</v>
      </c>
      <c r="B137" s="10" t="s">
        <v>403</v>
      </c>
      <c r="C137" s="14" t="s">
        <v>30</v>
      </c>
      <c r="D137" s="14">
        <v>5466</v>
      </c>
      <c r="E137" s="14">
        <v>6245</v>
      </c>
      <c r="F137" s="14">
        <v>6184</v>
      </c>
      <c r="G137" s="14">
        <v>6398</v>
      </c>
    </row>
    <row r="138" spans="1:7" ht="15.75" customHeight="1" x14ac:dyDescent="0.45">
      <c r="A138" s="10" t="s">
        <v>404</v>
      </c>
      <c r="B138" s="10" t="s">
        <v>405</v>
      </c>
      <c r="C138" s="12">
        <v>24.8</v>
      </c>
      <c r="D138" s="12">
        <v>20.783200000000001</v>
      </c>
      <c r="E138" s="12">
        <v>15.8512</v>
      </c>
      <c r="F138" s="12">
        <v>9.4494000000000007</v>
      </c>
      <c r="G138" s="12">
        <v>35.862299999999998</v>
      </c>
    </row>
    <row r="139" spans="1:7" ht="15.75" customHeight="1" x14ac:dyDescent="0.45">
      <c r="A139" s="10" t="s">
        <v>406</v>
      </c>
      <c r="B139" s="10" t="s">
        <v>407</v>
      </c>
      <c r="C139" s="12">
        <v>9.5952000000000002</v>
      </c>
      <c r="D139" s="12">
        <v>7.3314000000000004</v>
      </c>
      <c r="E139" s="12">
        <v>3.4853000000000001</v>
      </c>
      <c r="F139" s="12">
        <v>6.4017999999999997</v>
      </c>
      <c r="G139" s="12">
        <v>11.559200000000001</v>
      </c>
    </row>
    <row r="140" spans="1:7" ht="15.75" customHeight="1" x14ac:dyDescent="0.45">
      <c r="A140" s="15" t="s">
        <v>158</v>
      </c>
      <c r="B140" s="15"/>
      <c r="C140" s="15" t="s">
        <v>159</v>
      </c>
      <c r="D140" s="15"/>
      <c r="E140" s="15"/>
      <c r="F140" s="15"/>
      <c r="G140" s="15"/>
    </row>
    <row r="141" spans="1:7" ht="15.75" customHeight="1" x14ac:dyDescent="0.45"/>
    <row r="142" spans="1:7" ht="15.75" customHeight="1" x14ac:dyDescent="0.45"/>
    <row r="143" spans="1:7" ht="15.75" customHeight="1" x14ac:dyDescent="0.45"/>
    <row r="144" spans="1:7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</vt:lpstr>
      <vt:lpstr>Income - As Reported</vt:lpstr>
      <vt:lpstr>Cash Flow - As Reported</vt:lpstr>
      <vt:lpstr>Bal Sheet - As Reported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Thai</cp:lastModifiedBy>
  <dcterms:modified xsi:type="dcterms:W3CDTF">2026-05-26T16:49:11Z</dcterms:modified>
</cp:coreProperties>
</file>